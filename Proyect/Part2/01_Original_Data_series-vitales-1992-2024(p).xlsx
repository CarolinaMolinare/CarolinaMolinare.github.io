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https://d.docs.live.net/964992dce6c32205/Documents/MPP LSE/PP434 - Data Visualisation/Code examples/Proyect/Part 2/"/>
    </mc:Choice>
  </mc:AlternateContent>
  <xr:revisionPtr revIDLastSave="2" documentId="13_ncr:1_{6FBB6FFD-D295-4DCA-BA54-39E26C731795}" xr6:coauthVersionLast="47" xr6:coauthVersionMax="47" xr10:uidLastSave="{5CB49725-313B-4542-9B9D-33B69726A193}"/>
  <bookViews>
    <workbookView xWindow="-98" yWindow="-98" windowWidth="21795" windowHeight="12975" activeTab="6" xr2:uid="{00000000-000D-0000-FFFF-FFFF00000000}"/>
  </bookViews>
  <sheets>
    <sheet name="Portada" sheetId="6" r:id="rId1"/>
    <sheet name="Nacimientos" sheetId="1" r:id="rId2"/>
    <sheet name="Fecundidad" sheetId="2" r:id="rId3"/>
    <sheet name="Defunciones" sheetId="7" r:id="rId4"/>
    <sheet name="Mortalidad" sheetId="3" r:id="rId5"/>
    <sheet name="Matrimonios" sheetId="4" r:id="rId6"/>
    <sheet name="AUC" sheetId="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5" l="1"/>
  <c r="C8" i="5"/>
  <c r="G3" i="5"/>
  <c r="G4" i="5"/>
  <c r="G5" i="5"/>
  <c r="G6" i="5"/>
  <c r="G2" i="5"/>
  <c r="C3" i="5"/>
  <c r="C4" i="5"/>
  <c r="C5" i="5"/>
  <c r="C6" i="5"/>
  <c r="C2" i="5"/>
</calcChain>
</file>

<file path=xl/sharedStrings.xml><?xml version="1.0" encoding="utf-8"?>
<sst xmlns="http://schemas.openxmlformats.org/spreadsheetml/2006/main" count="177" uniqueCount="151">
  <si>
    <t>INSTITUTO NACIONAL DE ESTADÍSTICAS</t>
  </si>
  <si>
    <t>SUBDEPARTAMENTO DE DEMOGRAFÍA</t>
  </si>
  <si>
    <t>SERIE DE ESTADÍSTICAS VITALES 1992 -2024(P)</t>
  </si>
  <si>
    <t>FICHA DEL PRODUCTO</t>
  </si>
  <si>
    <t>Nombre del producto</t>
  </si>
  <si>
    <r>
      <rPr>
        <sz val="12"/>
        <color rgb="FF000000"/>
        <rFont val="Calibri Light"/>
      </rPr>
      <t>Series Temporales de Estadísticas Vitales 1992-2024</t>
    </r>
    <r>
      <rPr>
        <vertAlign val="superscript"/>
        <sz val="12"/>
        <color rgb="FF000000"/>
        <rFont val="Calibri Light"/>
      </rPr>
      <t>(P)</t>
    </r>
  </si>
  <si>
    <t>Versión</t>
  </si>
  <si>
    <t>N°1. Datos correspondiente a los años:</t>
  </si>
  <si>
    <r>
      <rPr>
        <sz val="12"/>
        <color rgb="FF000000"/>
        <rFont val="Calibri Light"/>
      </rPr>
      <t>1992-2024</t>
    </r>
    <r>
      <rPr>
        <vertAlign val="superscript"/>
        <sz val="12"/>
        <color rgb="FF000000"/>
        <rFont val="Calibri Light"/>
      </rPr>
      <t>(P)</t>
    </r>
  </si>
  <si>
    <t>Formato</t>
  </si>
  <si>
    <t>Excel (.xlsx)</t>
  </si>
  <si>
    <t>Dimensión</t>
  </si>
  <si>
    <t>6 cuadros estadísticos, 3 variables (año, sexo, grupo de edad). Materias: nacimientos, fecundidad, defunciones, mortalidad, matrimonios y acuerdos de unión civil.</t>
  </si>
  <si>
    <t>Contenido</t>
  </si>
  <si>
    <r>
      <rPr>
        <sz val="11.95"/>
        <color rgb="FF000000"/>
        <rFont val="Calibri Light"/>
      </rPr>
      <t>El Instituto Nacional de Estadísticas (INE) pone a disposición de la ciudadanía las series temporales de nacimientos, fecundidad, defunciones, mortalidad, matrimonios y acuerdos de unión civil, a nivel país entre los años 1992 y 2024</t>
    </r>
    <r>
      <rPr>
        <vertAlign val="superscript"/>
        <sz val="11.95"/>
        <color rgb="FF000000"/>
        <rFont val="Calibri Light"/>
      </rPr>
      <t>(p)</t>
    </r>
    <r>
      <rPr>
        <sz val="11.95"/>
        <color rgb="FF000000"/>
        <rFont val="Calibri Light"/>
      </rPr>
      <t xml:space="preserve"> e indicadores asociados a dichos hechos vitales, lo cual forma parte de un esfuerzo institucional por entregar datos con una mayor y mejor oportunidad de los hechos captados en el sistema de estadísticas vitales del país, con la posibilidad de conocer la evocución del comportamiento de las variables demográficas en las últimas tres décadas. Para nacimientos, fecundidad, mortalidad y defunciones los datos 2023 y 2024 corresponden a valores provisionales, mientras que en el caso de los matrimonios y acuerdos de unión civil los años 2022, 2023 y 2024 corresponden a datos provisionales.</t>
    </r>
  </si>
  <si>
    <t>Datos perdidos</t>
  </si>
  <si>
    <t>No aplica</t>
  </si>
  <si>
    <t>Códigos especiales</t>
  </si>
  <si>
    <t>Revisiones</t>
  </si>
  <si>
    <t>El proceso de revisión considera la validación y coherencia a partir de lo publicado en los Anuarios de Estadísticas Vitales y Boletines de cifras provisionales del periodo 1992-2024.</t>
  </si>
  <si>
    <t>Productor</t>
  </si>
  <si>
    <t>Subdepartamento de Demografía - Instituto Nacional de Estadísticas.</t>
  </si>
  <si>
    <t>Glosario</t>
  </si>
  <si>
    <r>
      <rPr>
        <b/>
        <sz val="11.95"/>
        <color rgb="FF000000"/>
        <rFont val="Calibri Light"/>
      </rPr>
      <t>Nacimientos</t>
    </r>
    <r>
      <rPr>
        <sz val="11.95"/>
        <color rgb="FF000000"/>
        <rFont val="Calibri Light"/>
      </rPr>
      <t xml:space="preserve">: Es la expulsión o la extracción completa desde el cuerpo de la madre de un producto de la concepción que después de la separación, respire o manifieste cualquier signo de vida, tal como palpitación del corazón, pulsación del cordón umbilical o contracción efectiva de un músculo voluntario, haya o no sido cortado el cordón umbilical, y esté o no unida la placenta independientemente de la duración del embarazo. Todo producto de tal nacimiento es considerado como "nacido vivo".
</t>
    </r>
    <r>
      <rPr>
        <b/>
        <sz val="11.95"/>
        <color rgb="FF000000"/>
        <rFont val="Calibri Light"/>
      </rPr>
      <t>Fecundidad:</t>
    </r>
    <r>
      <rPr>
        <sz val="11.95"/>
        <color rgb="FF000000"/>
        <rFont val="Calibri Light"/>
      </rPr>
      <t xml:space="preserve"> En sentido estricto, se utiliza este término para designar una procreación real. En términos más amplios, se emplea para señalar, en sus aspectos cuantitativos, los fenómenos directamente relacionados con la procreación humana, considerada en el seno de una población.
</t>
    </r>
    <r>
      <rPr>
        <b/>
        <sz val="11.95"/>
        <color rgb="FF000000"/>
        <rFont val="Calibri Light"/>
      </rPr>
      <t>Matrimonios</t>
    </r>
    <r>
      <rPr>
        <sz val="11.95"/>
        <color rgb="FF000000"/>
        <rFont val="Calibri Light"/>
      </rPr>
      <t xml:space="preserve">: es un contrato solemne por el cual dos personas se unen actual e indisolublemente, y por toda la vida, con el fin de vivir juntos, de procrear, y de auxiliarse mutuamente (Ley 21400, promulada en diciembre de 2021).
</t>
    </r>
    <r>
      <rPr>
        <b/>
        <sz val="11.95"/>
        <color rgb="FF000000"/>
        <rFont val="Calibri Light"/>
      </rPr>
      <t xml:space="preserve">Acuerdo de unión civil: </t>
    </r>
    <r>
      <rPr>
        <sz val="11.95"/>
        <color rgb="FF000000"/>
        <rFont val="Calibri Light"/>
      </rPr>
      <t xml:space="preserve"> es un contrato celebrado libre y espontáneamente entre dos personas que comparten un hogar. Tiene el propósito de regular los efectos jurídicos derivados de su vida afectiva en común de caracter estable y permanente. El acuerdo los puede celebrar una pareja heterosexual (una mujer y un hombre), una pareja de dos hombres o una pareja de dos mujeres.                                                                                                                                                                                             
</t>
    </r>
    <r>
      <rPr>
        <b/>
        <sz val="11.95"/>
        <color rgb="FF000000"/>
        <rFont val="Calibri Light"/>
      </rPr>
      <t>Defunciones</t>
    </r>
    <r>
      <rPr>
        <sz val="11.95"/>
        <color rgb="FF000000"/>
        <rFont val="Calibri Light"/>
      </rPr>
      <t xml:space="preserve">: Es la desaparición permanente de todo signo de vida, cualquiera sea el tiempo transcurrido desde el nacimiento con vida (cesación postnatal de las funciones vitales sin posibilidad de resucitar). Esta definición excluye las defunciones fetales.    
</t>
    </r>
    <r>
      <rPr>
        <b/>
        <sz val="11.95"/>
        <color rgb="FF000000"/>
        <rFont val="Calibri Light"/>
      </rPr>
      <t>Sexo</t>
    </r>
    <r>
      <rPr>
        <sz val="11.95"/>
        <color rgb="FF000000"/>
        <rFont val="Calibri Light"/>
      </rPr>
      <t xml:space="preserve">: Caracterización biológica de los seres humanos. En las bases de datos de nacimientos las categorías de la variable corresponden a: hombre, mujer e indeterminado                                                                                                                                                                                                                                                             
</t>
    </r>
    <r>
      <rPr>
        <b/>
        <sz val="11.95"/>
        <color rgb="FF000000"/>
        <rFont val="Calibri Light"/>
      </rPr>
      <t>Sexo indeterminado</t>
    </r>
    <r>
      <rPr>
        <sz val="11.95"/>
        <color rgb="FF000000"/>
        <rFont val="Calibri Light"/>
      </rPr>
      <t xml:space="preserve">: Es una anomalía o mal formación congénita, llamada también "genitales ambiguos", que se presenta infrecuentemente en recién nacidos, en general acompañada de otras malformaciones congénitas. Estos casos puede que fallezcan a temprana edad antes de que se haya logrado definir el sexo genético, de modo que quedan como casos de sexo indeterminado, variedad anatómica que debe quedar registrada en el certificado médico de defunción.
</t>
    </r>
    <r>
      <rPr>
        <b/>
        <sz val="11.95"/>
        <color rgb="FF000000"/>
        <rFont val="Calibri Light"/>
      </rPr>
      <t>Nacimientos corregidos:</t>
    </r>
    <r>
      <rPr>
        <sz val="11.95"/>
        <color rgb="FF000000"/>
        <rFont val="Calibri Light"/>
      </rPr>
      <t xml:space="preserve"> Son los nacidos vivos observados que se someten a diferentes metodologías técnicas (como de Gutiérrez, de Brass, de las Inscripciones tardías, etc.) que permiten suavizar su comportamiento y ajustarlos a patrones lógicos. En la práctica, la cifra de nacidos vivos inscritos es corregida por un porcentaje de integridad (o de subregistro), valor que ha sido obtenido mediante la aplicación de las metodologías mencionadas. Este porcentaje de corrección varía cada año y es diferente para cada región, ya que se basa en los datos observados durante cada ciclo anual. Desde el anuario de 2007 al actual se ha utilizado el método de las inscripciones tardías aplicado al país y regiones (explicado en el anexo B de este informe anual). Hasta 2006 se utilizó como factor general de corrección de la integridad de registro de nacidos vivos el 5%.
</t>
    </r>
    <r>
      <rPr>
        <b/>
        <sz val="11.95"/>
        <color rgb="FF000000"/>
        <rFont val="Calibri Light"/>
      </rPr>
      <t>Índice de masculinidad:</t>
    </r>
    <r>
      <rPr>
        <sz val="11.95"/>
        <color rgb="FF000000"/>
        <rFont val="Calibri Light"/>
      </rPr>
      <t xml:space="preserve"> Es la relación entre el número de hombres y el número de mujeres que conforman una población, es decir, el número de hombres de todas las edades en un determinado año con relación a cada 100 mujeres de todas las edades en ese año.
</t>
    </r>
    <r>
      <rPr>
        <b/>
        <sz val="11.95"/>
        <color rgb="FF000000"/>
        <rFont val="Calibri Light"/>
      </rPr>
      <t>Tasa bruta de natalidad:</t>
    </r>
    <r>
      <rPr>
        <sz val="11.95"/>
        <color rgb="FF000000"/>
        <rFont val="Calibri Light"/>
      </rPr>
      <t xml:space="preserve"> Expresa la frecuencia con que ocurren los nacimientos en una población determinada. Se calcula haciendo el cociente entre el número de nacimientos ocurridos durante un período dado y la población media de ese período, por mil
</t>
    </r>
    <r>
      <rPr>
        <b/>
        <sz val="11.95"/>
        <color rgb="FF000000"/>
        <rFont val="Calibri Light"/>
      </rPr>
      <t xml:space="preserve">Tasa de fecundidad general: </t>
    </r>
    <r>
      <rPr>
        <sz val="11.95"/>
        <color rgb="FF000000"/>
        <rFont val="Calibri Light"/>
      </rPr>
      <t xml:space="preserve">Corresponde al cociente entre los nacimientos ocurridos en un periodo dado y la población femenina en edad fértil (15-49 años) a mediados del periodo. Se interpreta como el número de nacimientos por cada mil mujeres en edad fértil para el periodo especificado.
</t>
    </r>
    <r>
      <rPr>
        <b/>
        <sz val="11.95"/>
        <color rgb="FF000000"/>
        <rFont val="Calibri Light"/>
      </rPr>
      <t>Tasa específica de fecundidad por edad:</t>
    </r>
    <r>
      <rPr>
        <sz val="11.95"/>
        <color rgb="FF000000"/>
        <rFont val="Calibri Light"/>
      </rPr>
      <t xml:space="preserve"> Representa la frecuencia con que ocurren los nacimientos provenientes de mujeres de una edad X con respecto a la población media femenina de esa misma edad.  Se calcula dividiendo el número de nacimientos de madres con edad X entre el total de población media femenina correspondiente
</t>
    </r>
    <r>
      <rPr>
        <b/>
        <sz val="11.95"/>
        <color rgb="FF000000"/>
        <rFont val="Calibri Light"/>
      </rPr>
      <t>Tasa global de fecundidad</t>
    </r>
    <r>
      <rPr>
        <sz val="11.95"/>
        <color rgb="FF000000"/>
        <rFont val="Calibri Light"/>
      </rPr>
      <t xml:space="preserve">: Se interpreta como el número de hijos(as) promedio que tendría cada miembro de una cohorte hipotética de mujeres, que cumplieran las dos condiciones siguientes: a) Durante el período fértil tuvieran sus hijos(as), de acuerdo con las tasas de fecundidad por edad de la población en estudio y b) No estuvieran expuestas al riesgo de la mortalidad antes del término del período fértil.
</t>
    </r>
    <r>
      <rPr>
        <b/>
        <sz val="11.95"/>
        <color rgb="FF000000"/>
        <rFont val="Calibri Light"/>
      </rPr>
      <t>Tasa bruta de reproducción:</t>
    </r>
    <r>
      <rPr>
        <sz val="11.95"/>
        <color rgb="FF000000"/>
        <rFont val="Calibri Light"/>
      </rPr>
      <t xml:space="preserve"> se interpreta como el número de hijas promedio que tendría cada miembro de una cohorte hipotética, que cumpliera condiciones similares a las expresadas en la tasa global de fecundidad. Dicha tasa se calcula derivando la tasa global de fecundidad, para lo cual es suficiente multiplicar esa tasa por la proporción que representan los nacimientos femeninos respecto al total de nacimientos.
</t>
    </r>
    <r>
      <rPr>
        <b/>
        <sz val="11.95"/>
        <color rgb="FF000000"/>
        <rFont val="Calibri Light"/>
      </rPr>
      <t>Edad media de la fecundidad:</t>
    </r>
    <r>
      <rPr>
        <sz val="11.95"/>
        <color rgb="FF000000"/>
        <rFont val="Calibri Light"/>
      </rPr>
      <t xml:space="preserve"> Se refiere a la edad teórica a la que en promedio, se situarían todos los nacimientos de cada mujer. Se obtiene multiplicando las tasas específicas de fecundidad por edad por el punto medio del intervalo de edad y dividiendo la suma de estos valores por la sumatoria de las tasas de fecundidad.
</t>
    </r>
    <r>
      <rPr>
        <b/>
        <sz val="11.95"/>
        <color rgb="FF000000"/>
        <rFont val="Calibri Light"/>
      </rPr>
      <t>Edad media de las madres:</t>
    </r>
    <r>
      <rPr>
        <sz val="11.95"/>
        <color rgb="FF000000"/>
        <rFont val="Calibri Light"/>
      </rPr>
      <t xml:space="preserve"> Corresponde a la edad promedio de todas las madres que tuvieron hijos vivos en un periodo determinado.
</t>
    </r>
    <r>
      <rPr>
        <b/>
        <sz val="11.95"/>
        <color rgb="FF000000"/>
        <rFont val="Calibri Light"/>
      </rPr>
      <t>Edad mediana de las madres:</t>
    </r>
    <r>
      <rPr>
        <sz val="11.95"/>
        <color rgb="FF000000"/>
        <rFont val="Calibri Light"/>
      </rPr>
      <t xml:space="preserve"> El valor representa la edad en que se puede dividir exactamente a la mitad a las madres que tuvieron nacidos vivos en un periodo dado. De otra forma, se puede decir que el 50% de las madres se encuentra por debajo de la edad mediana y el otro 50% por sobre ésta.
</t>
    </r>
    <r>
      <rPr>
        <b/>
        <sz val="11.95"/>
        <color rgb="FF000000"/>
        <rFont val="Calibri Light"/>
      </rPr>
      <t>Tasa bruta de mortalidad:</t>
    </r>
    <r>
      <rPr>
        <sz val="11.95"/>
        <color rgb="FF000000"/>
        <rFont val="Calibri Light"/>
      </rPr>
      <t xml:space="preserve"> Mide la frecuencia relativa de las muertes de una población dada en un intervalo de tiempo específico (generalmente un año civil). Se calcula dividiendo el número de muertes ocurridas en dicho período por la población media
</t>
    </r>
    <r>
      <rPr>
        <b/>
        <sz val="11.95"/>
        <color rgb="FF000000"/>
        <rFont val="Calibri Light"/>
      </rPr>
      <t>Tasa de mortalidad infantil:</t>
    </r>
    <r>
      <rPr>
        <sz val="11.95"/>
        <color rgb="FF000000"/>
        <rFont val="Calibri Light"/>
      </rPr>
      <t xml:space="preserve"> Representa la frecuencia con que ocurren las defunciones de niños(as) menores de un año, en relación con el número de nacimientos corregidos. Se calcula dividiendo estas defunciones ocurridas en un intervalo de tiempo, generalmente un año, por el número de nacimientos vivos del período.
</t>
    </r>
    <r>
      <rPr>
        <b/>
        <sz val="11.95"/>
        <color rgb="FF000000"/>
        <rFont val="Calibri Light"/>
      </rPr>
      <t>Tasa de mortalidad neonatal:</t>
    </r>
    <r>
      <rPr>
        <sz val="11.95"/>
        <color rgb="FF000000"/>
        <rFont val="Calibri Light"/>
      </rPr>
      <t xml:space="preserve"> Es el número de defunciones de niños(as) menores de 28 días, en relación con el número de nacimientos vivos corregidos en un tiempo determinado, por mil.
</t>
    </r>
    <r>
      <rPr>
        <b/>
        <sz val="11.95"/>
        <color rgb="FF000000"/>
        <rFont val="Calibri Light"/>
      </rPr>
      <t>Tasa de mortalidad en la niñez:</t>
    </r>
    <r>
      <rPr>
        <sz val="11.95"/>
        <color rgb="FF000000"/>
        <rFont val="Calibri Light"/>
      </rPr>
      <t xml:space="preserve"> Representa la probailidad de que un recién nacido en un año específico muera antes de cumplir cinco años. Se expresa como el número de muertes de menores de 5 años por cada mil nacidos vivos.
</t>
    </r>
    <r>
      <rPr>
        <b/>
        <sz val="11.95"/>
        <color rgb="FF000000"/>
        <rFont val="Calibri Light"/>
      </rPr>
      <t>Esperanza de vida al nacer:</t>
    </r>
    <r>
      <rPr>
        <sz val="11.95"/>
        <color rgb="FF000000"/>
        <rFont val="Calibri Light"/>
      </rPr>
      <t xml:space="preserve"> Indica el número de años que probablemente le corresponde vivir a cada componente de una generación de recién nacidos.
</t>
    </r>
    <r>
      <rPr>
        <b/>
        <sz val="11.95"/>
        <color rgb="FF000000"/>
        <rFont val="Calibri Light"/>
      </rPr>
      <t>Tasa bruta de nupcialidad:</t>
    </r>
    <r>
      <rPr>
        <sz val="11.95"/>
        <color rgb="FF000000"/>
        <rFont val="Calibri Light"/>
      </rPr>
      <t xml:space="preserve"> Expresa la frecuencia con que ocurren los matrimonios en una población en un periodo específico. Representa el número de matrimonios por cada mil habitantes y se calcula dividiendo el número total de matrimonios del periodo por la población media de dicho periodo, multiplicado por mil. 
</t>
    </r>
    <r>
      <rPr>
        <b/>
        <sz val="11.95"/>
        <color rgb="FF000000"/>
        <rFont val="Calibri Light"/>
      </rPr>
      <t>Tasa bruta de acuerdos de unión civil:</t>
    </r>
    <r>
      <rPr>
        <sz val="11.95"/>
        <color rgb="FF000000"/>
        <rFont val="Calibri Light"/>
      </rPr>
      <t xml:space="preserve"> Representa el número de acuerdos de unión civil celebrados en un año por cada diez mil habitantes. Se obtiene del cociente entre el total de acuerdos de unión civil del periodo y la población media de dicho periodo, multiplicado por diez mil.</t>
    </r>
  </si>
  <si>
    <t>Fuentes:</t>
  </si>
  <si>
    <t>(1) INE (2022). Anuario de Estadísticas Vitales 2022, Santiago, Chile: Instituto Nacional de Estadísticas. Disponible en: https://www.ine.gob.cl/estadisticas/sociales/demografia-y-vitales/nacimientos-matrimonios-y-defunciones</t>
  </si>
  <si>
    <t>(2) CELADE/PROLAP (1997). Demografía I. México D.F. Disponible en: https://pps.secyt.unpa.edu.ar/wp-content/uploads/2020/07/Welti-1997-Demografia-I.pdf</t>
  </si>
  <si>
    <t>(3) Naciones Unidas (2024) SDG Indicators Metadata. DIsponible en: https://unstats.un.org/sdgs/metadata/</t>
  </si>
  <si>
    <t>Año</t>
  </si>
  <si>
    <t>Nacimientos observados</t>
  </si>
  <si>
    <t>Nacimientos corregidos</t>
  </si>
  <si>
    <t>Nacimientos hombres</t>
  </si>
  <si>
    <t>Nacimientos mujeres</t>
  </si>
  <si>
    <t>Nacimientos sexo indeterminado</t>
  </si>
  <si>
    <t>Índice de Masculinidad de los nacimientos</t>
  </si>
  <si>
    <t>Nacimientos de mujeres menores de 15 años</t>
  </si>
  <si>
    <t>Nacimientos de mujeres de 15 a 19 años</t>
  </si>
  <si>
    <t>Nacimientos de mujeres de 20 a 24 años</t>
  </si>
  <si>
    <t>Nacimientos de mujeres de 25 a 29 años</t>
  </si>
  <si>
    <t>Nacimientos de mujeres de 30 a 34 años</t>
  </si>
  <si>
    <t>Nacimientos de mujeres de 35 a 39 años</t>
  </si>
  <si>
    <t>Nacimientos de mujeres de 40 a 44 años</t>
  </si>
  <si>
    <t>Nacimientos de mujeres de 45 a 49 años</t>
  </si>
  <si>
    <t>Nacimientos de mujeres de 50 años y más</t>
  </si>
  <si>
    <t>Nacimientos de mujeres de edad no especificada</t>
  </si>
  <si>
    <r>
      <t>2023</t>
    </r>
    <r>
      <rPr>
        <vertAlign val="superscript"/>
        <sz val="10"/>
        <color theme="1"/>
        <rFont val="Aptos Narrow"/>
        <family val="2"/>
      </rPr>
      <t>(p)</t>
    </r>
  </si>
  <si>
    <r>
      <rPr>
        <sz val="10"/>
        <color rgb="FF000000"/>
        <rFont val="Aptos Narrow"/>
      </rPr>
      <t>2024</t>
    </r>
    <r>
      <rPr>
        <vertAlign val="superscript"/>
        <sz val="10"/>
        <color rgb="FF000000"/>
        <rFont val="Aptos Narrow"/>
      </rPr>
      <t>(p)</t>
    </r>
  </si>
  <si>
    <t>Fuente: INE, Estadísticas Vitales.</t>
  </si>
  <si>
    <t>Notas:</t>
  </si>
  <si>
    <t>Los valores de los años 2023 y 2024 corresponden a cifras provisionales.</t>
  </si>
  <si>
    <t>Nacidos vivos corregidos</t>
  </si>
  <si>
    <t>Tasa bruta de natalidad</t>
  </si>
  <si>
    <t>Mujeres de 15 a 49 años al 30 de junio</t>
  </si>
  <si>
    <t>Tasa de fecundidad general</t>
  </si>
  <si>
    <t>Nacidos vivos de mujeres de 15 a 19 años</t>
  </si>
  <si>
    <t>Mujeres de 15 a 19 años</t>
  </si>
  <si>
    <t>Nacidos vivos de mujeres de 20 a 24 años</t>
  </si>
  <si>
    <t>Mujeres de 20 a 24 años</t>
  </si>
  <si>
    <t>Nacidos vivos de mujeres de 25 a 29 años</t>
  </si>
  <si>
    <t>Mujeres de 25 a 29 años</t>
  </si>
  <si>
    <t>Nacidos vivos de mujeres de 30 a 34 años</t>
  </si>
  <si>
    <t>Mujeres de 30 a 34 años</t>
  </si>
  <si>
    <t>Nacidos vivos de mujeres de 35 a 39 años</t>
  </si>
  <si>
    <t>Mujeres de 35 a 39 años</t>
  </si>
  <si>
    <t>Nacidos vivos de mujeres de 40 a 44 años</t>
  </si>
  <si>
    <t>Mujeres de 40 a 44 años</t>
  </si>
  <si>
    <t>Nacidos vivos de mujeres de 45 a 49 años</t>
  </si>
  <si>
    <t>Mujeres de 45 a 49 años</t>
  </si>
  <si>
    <t>Tasa específica de fecundidad 15 a 19 años</t>
  </si>
  <si>
    <t>Tasa específica de fecundidad 20 a 24 años</t>
  </si>
  <si>
    <t>Tasa específica de fecundidad 25 a 29 años</t>
  </si>
  <si>
    <t>Tasa específica de fecundidad 30 a 34 años</t>
  </si>
  <si>
    <t>Tasa específica de fecundidad 35 a 39 años</t>
  </si>
  <si>
    <t>Tasa específica de fecundidad 40 a 44 años</t>
  </si>
  <si>
    <t>Tasa específica de fecundidad 45 a 49 años</t>
  </si>
  <si>
    <t>Tasa Global de Fecundidad (TGF)</t>
  </si>
  <si>
    <t>Tasa bruta de reproducción (TBR)</t>
  </si>
  <si>
    <t>Edad media de la fecundidad</t>
  </si>
  <si>
    <t>Edad media de las madres</t>
  </si>
  <si>
    <t>Edad mediana de las madres</t>
  </si>
  <si>
    <t>Fuente: INE, Estadísticas Vitales y Estimaciones y Proyecciones de Población base Censo 2017.</t>
  </si>
  <si>
    <t xml:space="preserve">Notas: </t>
  </si>
  <si>
    <t>Las cifras de población al 30 de junio de cada año corresponden a las estimaciones y proyecciones de población base censo 2017.</t>
  </si>
  <si>
    <t>La tasa bruta de natalidad corresponde al número de nacidos vivos por cada 1.000 personas.</t>
  </si>
  <si>
    <t>La tasa de fecundidad general corresponde al número de nacidos vivos por cada 1.000 mujeres en edad fértil (15-49 años).</t>
  </si>
  <si>
    <t>Los nacidos vivos por grupo de edad de la madre están  ajustados a los nacimientos corregidos  mediante prorrateo, incluyendo casos de edad ignorada, el grupo 15 a 19 años incluye nacimientos de menores de 15 años, el grupo 45 a 49 años incluye nacimientos de mujeres de 50 años y más.</t>
  </si>
  <si>
    <t>Las tasas específicas de fecundidad por grupo de edad de la madre corresponden al  número de nacidos vivos por cada 1.000 mujeres de dicho grupo de edad.</t>
  </si>
  <si>
    <t xml:space="preserve">La tasa global de fecundidad corresponden al número de hijos/as que tendría una mujer al finalizar su edad fértil (15 a 49 años) si está afecta a la fecundidad actual y no estuviera expuesta al riesgo de la mortalidad antes del término del período fértil. </t>
  </si>
  <si>
    <t>La edad media de la fecundidad se refiere a la edad teórica a la que en promedio, se situarían todos los nacimientos de cada mujer. Se obtiene multiplicando las tasas específicas de fecundidad por edad por el punto medio del intervalo de edad y dividiendo la suma de estos valores por la sumatoria de las tasas de fecundidad.</t>
  </si>
  <si>
    <t>La edad media de las madres, corresponde a la edad promedio de todas las madres que tuvieron hijos vivos en un periodo determinado.</t>
  </si>
  <si>
    <t>La edad mediana de las madres es el valor que representa la edad en que se puede dividir exactamente a la mitad a las madres que tuvieron nacidos vivos en un periodo dado. De otra forma, se puede decir que el 50% de las madres se encuentra por debajo de la edad mediana y el otro 50% por sobre ésta.</t>
  </si>
  <si>
    <t xml:space="preserve">Defunciones </t>
  </si>
  <si>
    <t>Defunciones de hombres</t>
  </si>
  <si>
    <t>Defunciones de mujeres</t>
  </si>
  <si>
    <t>Defunciones de sexo indeterminado</t>
  </si>
  <si>
    <t>Índice de masculinidad de las defunciones</t>
  </si>
  <si>
    <t>Defunciones de menores 28 días</t>
  </si>
  <si>
    <t>Defunciones de menores 1 año</t>
  </si>
  <si>
    <t>Defunciones de niños de 1 a 4 años</t>
  </si>
  <si>
    <t>Defunciones fetales</t>
  </si>
  <si>
    <t>Los valores de los años 2023 y 2024 corresponden a cifras provisionales, por lo que no se presenta información de defunciones de menores de 28 días ni de defunciones fetales.</t>
  </si>
  <si>
    <t>Tasa bruta de mortalidad</t>
  </si>
  <si>
    <t>Tasa de mortalidad infantil</t>
  </si>
  <si>
    <t>Tasa de mortalidad neonatal</t>
  </si>
  <si>
    <t>Tasa de defunciones fetales</t>
  </si>
  <si>
    <t>Tasa de mortalidad en la niñez</t>
  </si>
  <si>
    <t>Esperanza vida al nacer Ambos sexos</t>
  </si>
  <si>
    <t>Esperanza vida al nacer Hombres</t>
  </si>
  <si>
    <t>Esperanza vida al nacer Mujeres</t>
  </si>
  <si>
    <t>Las tasas son calculadas con los nacimientos corregidos.</t>
  </si>
  <si>
    <t>La tasa de mortalidad en la niñez corresponde a la probabilidad de un recien nacido de morir antes de cumplir 5 años (q5) por mil.</t>
  </si>
  <si>
    <t>La tasa de mortalidad infantil equivale al número de muertes de menores de 1 año por cada 1.000 nacidos vivos.</t>
  </si>
  <si>
    <t>Matrimonios</t>
  </si>
  <si>
    <t>Tasa Bruta de Nupcialidad</t>
  </si>
  <si>
    <t>Hombres Menores de 15 años</t>
  </si>
  <si>
    <t>Hombres 15-19</t>
  </si>
  <si>
    <t>Hombres 20-24</t>
  </si>
  <si>
    <t>Hombres 25-29</t>
  </si>
  <si>
    <t>Hombres 30-34</t>
  </si>
  <si>
    <t>Hombres 35-39</t>
  </si>
  <si>
    <t>Hombres 40-44</t>
  </si>
  <si>
    <t>Hombres 45-49</t>
  </si>
  <si>
    <t>Hombres 50-54</t>
  </si>
  <si>
    <t>Hombres 55-59</t>
  </si>
  <si>
    <t>Hombres 60-64</t>
  </si>
  <si>
    <t>Hombres 65-69</t>
  </si>
  <si>
    <t>Hombres 70 y más</t>
  </si>
  <si>
    <t>Mujeres Menores de 15 años</t>
  </si>
  <si>
    <t>Mujeres 15-19</t>
  </si>
  <si>
    <t>Mujeres 20-24</t>
  </si>
  <si>
    <t>Mujeres 25-29</t>
  </si>
  <si>
    <t>Mujeres 30-34</t>
  </si>
  <si>
    <t>Mujeres 35-39</t>
  </si>
  <si>
    <t>Mujeres 40-44</t>
  </si>
  <si>
    <t>Mujeres 45-49</t>
  </si>
  <si>
    <t>Mujeres 50-54</t>
  </si>
  <si>
    <t>Mujeres 55-59</t>
  </si>
  <si>
    <t>Mujeres 60-64</t>
  </si>
  <si>
    <t>Mujeres 65-69</t>
  </si>
  <si>
    <t>Mujeres 70 y más</t>
  </si>
  <si>
    <r>
      <t>2022</t>
    </r>
    <r>
      <rPr>
        <vertAlign val="superscript"/>
        <sz val="10"/>
        <color theme="1"/>
        <rFont val="Aptos Narrow"/>
        <family val="2"/>
      </rPr>
      <t>(p)</t>
    </r>
  </si>
  <si>
    <t>Los valores de los años 2022, 2023 y 2024 son provisionales.</t>
  </si>
  <si>
    <t>Acuerdos de Unión Civil</t>
  </si>
  <si>
    <t>Tasa Bruta de Acuerdos de Unión Civil</t>
  </si>
  <si>
    <t>Distinto Sexo Total</t>
  </si>
  <si>
    <t>Distinto Sexo Hombres</t>
  </si>
  <si>
    <t>Distinto Sexo Mujeres</t>
  </si>
  <si>
    <t>Mismo Sexo Total</t>
  </si>
  <si>
    <t>Mismo Sexo Hombres</t>
  </si>
  <si>
    <t>Mismo Sexo Mujeres</t>
  </si>
  <si>
    <t>Tasa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</si>
</sst>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1" formatCode="_ * #,##0_ ;_ * \-#,##0_ ;_ * &quot;-&quot;_ ;_ @_ "/>
    <numFmt numFmtId="164" formatCode="0.0"/>
    <numFmt numFmtId="165" formatCode="_-* #,##0_-;\-* #,##0_-;_-* &quot;-&quot;??_-;_-@_-"/>
  </numFmts>
  <fonts count="23" x14ac:knownFonts="1">
    <font>
      <sz val="10"/>
      <color theme="1"/>
      <name val="Aptos Narrow"/>
      <family val="2"/>
    </font>
    <font>
      <b/>
      <sz val="10"/>
      <color theme="1"/>
      <name val="Aptos Narrow"/>
      <family val="2"/>
    </font>
    <font>
      <sz val="10"/>
      <color rgb="FFFF0000"/>
      <name val="Aptos Narrow"/>
      <family val="2"/>
    </font>
    <font>
      <sz val="10"/>
      <color rgb="FF000000"/>
      <name val="Aptos Narrow"/>
      <family val="2"/>
    </font>
    <font>
      <b/>
      <sz val="14"/>
      <color theme="1"/>
      <name val="Calibri Light"/>
      <family val="2"/>
    </font>
    <font>
      <sz val="11"/>
      <color theme="1"/>
      <name val="Calibri Light"/>
      <family val="2"/>
    </font>
    <font>
      <b/>
      <sz val="11.95"/>
      <color theme="1"/>
      <name val="Calibri Light"/>
      <family val="2"/>
    </font>
    <font>
      <sz val="12"/>
      <color theme="1"/>
      <name val="Calibri Light"/>
      <family val="2"/>
    </font>
    <font>
      <sz val="12"/>
      <color rgb="FFFF0000"/>
      <name val="Calibri Light"/>
      <family val="2"/>
    </font>
    <font>
      <sz val="11.95"/>
      <color rgb="FF000000"/>
      <name val="Calibri Light"/>
      <family val="2"/>
    </font>
    <font>
      <sz val="11.95"/>
      <color theme="1"/>
      <name val="Calibri Light"/>
      <family val="2"/>
    </font>
    <font>
      <sz val="12"/>
      <color rgb="FF000000"/>
      <name val="Calibri Light"/>
      <family val="2"/>
    </font>
    <font>
      <b/>
      <sz val="11"/>
      <color theme="1"/>
      <name val="Calibri Light"/>
      <family val="2"/>
    </font>
    <font>
      <b/>
      <sz val="11.95"/>
      <color rgb="FF000000"/>
      <name val="Calibri Light"/>
    </font>
    <font>
      <sz val="11.95"/>
      <color rgb="FF000000"/>
      <name val="Calibri Light"/>
    </font>
    <font>
      <sz val="11"/>
      <color rgb="FF000000"/>
      <name val="Calibri"/>
      <family val="2"/>
      <scheme val="minor"/>
    </font>
    <font>
      <vertAlign val="superscript"/>
      <sz val="10"/>
      <color theme="1"/>
      <name val="Aptos Narrow"/>
      <family val="2"/>
    </font>
    <font>
      <sz val="10"/>
      <color rgb="FF242424"/>
      <name val="Aptos Narrow"/>
      <charset val="1"/>
    </font>
    <font>
      <sz val="12"/>
      <color rgb="FF000000"/>
      <name val="Calibri Light"/>
    </font>
    <font>
      <vertAlign val="superscript"/>
      <sz val="12"/>
      <color rgb="FF000000"/>
      <name val="Calibri Light"/>
    </font>
    <font>
      <vertAlign val="superscript"/>
      <sz val="11.95"/>
      <color rgb="FF000000"/>
      <name val="Calibri Light"/>
    </font>
    <font>
      <sz val="10"/>
      <color rgb="FF000000"/>
      <name val="Aptos Narrow"/>
    </font>
    <font>
      <vertAlign val="superscript"/>
      <sz val="10"/>
      <color rgb="FF000000"/>
      <name val="Aptos Narrow"/>
    </font>
  </fonts>
  <fills count="3">
    <fill>
      <patternFill patternType="none"/>
    </fill>
    <fill>
      <patternFill patternType="gray125"/>
    </fill>
    <fill>
      <patternFill patternType="solid">
        <fgColor theme="0"/>
        <bgColor indexed="64"/>
      </patternFill>
    </fill>
  </fills>
  <borders count="13">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bottom/>
      <diagonal/>
    </border>
  </borders>
  <cellStyleXfs count="3">
    <xf numFmtId="0" fontId="0" fillId="0" borderId="0"/>
    <xf numFmtId="0" fontId="15" fillId="0" borderId="0"/>
    <xf numFmtId="41" fontId="15" fillId="0" borderId="0" applyFont="0" applyFill="0" applyBorder="0" applyAlignment="0" applyProtection="0"/>
  </cellStyleXfs>
  <cellXfs count="61">
    <xf numFmtId="0" fontId="0" fillId="0" borderId="0" xfId="0"/>
    <xf numFmtId="164" fontId="0" fillId="0" borderId="0" xfId="0" applyNumberFormat="1"/>
    <xf numFmtId="0" fontId="1" fillId="0" borderId="0" xfId="0" applyFont="1" applyAlignment="1">
      <alignment horizontal="center" vertical="center"/>
    </xf>
    <xf numFmtId="0" fontId="1" fillId="0" borderId="0" xfId="0" applyFont="1" applyAlignment="1">
      <alignment horizontal="center" vertical="center" wrapText="1"/>
    </xf>
    <xf numFmtId="3" fontId="0" fillId="0" borderId="0" xfId="0" applyNumberFormat="1"/>
    <xf numFmtId="2" fontId="0" fillId="0" borderId="0" xfId="0" applyNumberFormat="1"/>
    <xf numFmtId="0" fontId="2" fillId="0" borderId="0" xfId="0" applyFont="1"/>
    <xf numFmtId="0" fontId="3" fillId="0" borderId="0" xfId="0" applyFont="1"/>
    <xf numFmtId="0" fontId="1" fillId="0" borderId="0" xfId="0" applyFont="1" applyAlignment="1">
      <alignment vertical="center"/>
    </xf>
    <xf numFmtId="0" fontId="0" fillId="0" borderId="0" xfId="0" applyAlignment="1">
      <alignment horizontal="right"/>
    </xf>
    <xf numFmtId="0" fontId="0" fillId="2" borderId="0" xfId="0" applyFill="1"/>
    <xf numFmtId="0" fontId="4" fillId="2" borderId="0" xfId="0" applyFont="1" applyFill="1"/>
    <xf numFmtId="0" fontId="4" fillId="2" borderId="0" xfId="0" applyFont="1" applyFill="1" applyAlignment="1">
      <alignment horizontal="left"/>
    </xf>
    <xf numFmtId="0" fontId="5" fillId="2" borderId="0" xfId="0" applyFont="1" applyFill="1" applyAlignment="1">
      <alignment wrapText="1"/>
    </xf>
    <xf numFmtId="0" fontId="6" fillId="2" borderId="0" xfId="0" applyFont="1" applyFill="1" applyAlignment="1" applyProtection="1">
      <alignment horizontal="center" vertical="top"/>
      <protection locked="0"/>
    </xf>
    <xf numFmtId="0" fontId="6" fillId="2" borderId="0" xfId="0" applyFont="1" applyFill="1" applyAlignment="1" applyProtection="1">
      <alignment vertical="top" wrapText="1"/>
      <protection locked="0"/>
    </xf>
    <xf numFmtId="0" fontId="7" fillId="2" borderId="0" xfId="0" applyFont="1" applyFill="1" applyAlignment="1">
      <alignment horizontal="left" vertical="top" wrapText="1"/>
    </xf>
    <xf numFmtId="0" fontId="5" fillId="2" borderId="3" xfId="0" applyFont="1" applyFill="1" applyBorder="1" applyAlignment="1">
      <alignment wrapText="1"/>
    </xf>
    <xf numFmtId="49" fontId="7" fillId="2" borderId="0" xfId="0" applyNumberFormat="1" applyFont="1" applyFill="1" applyAlignment="1">
      <alignment horizontal="left" vertical="top" wrapText="1"/>
    </xf>
    <xf numFmtId="0" fontId="10" fillId="2" borderId="0" xfId="0" applyFont="1" applyFill="1" applyAlignment="1" applyProtection="1">
      <alignment horizontal="left" vertical="top" wrapText="1"/>
      <protection locked="0"/>
    </xf>
    <xf numFmtId="0" fontId="6" fillId="2" borderId="0" xfId="0" applyFont="1" applyFill="1" applyAlignment="1" applyProtection="1">
      <alignment vertical="top"/>
      <protection locked="0"/>
    </xf>
    <xf numFmtId="0" fontId="12" fillId="2" borderId="0" xfId="0" applyFont="1" applyFill="1" applyAlignment="1">
      <alignment wrapText="1"/>
    </xf>
    <xf numFmtId="0" fontId="5" fillId="2" borderId="0" xfId="0" applyFont="1" applyFill="1" applyAlignment="1">
      <alignment horizontal="center" wrapText="1"/>
    </xf>
    <xf numFmtId="0" fontId="0" fillId="0" borderId="0" xfId="0" applyAlignment="1">
      <alignment wrapText="1"/>
    </xf>
    <xf numFmtId="0" fontId="1" fillId="0" borderId="0" xfId="0" applyFont="1" applyAlignment="1">
      <alignment vertical="center" wrapText="1"/>
    </xf>
    <xf numFmtId="0" fontId="0" fillId="0" borderId="0" xfId="0" applyAlignment="1">
      <alignment horizontal="left"/>
    </xf>
    <xf numFmtId="3" fontId="3" fillId="0" borderId="0" xfId="0" applyNumberFormat="1" applyFont="1"/>
    <xf numFmtId="164" fontId="3" fillId="0" borderId="0" xfId="0" applyNumberFormat="1" applyFont="1"/>
    <xf numFmtId="165" fontId="3" fillId="0" borderId="0" xfId="0" applyNumberFormat="1" applyFont="1"/>
    <xf numFmtId="1" fontId="0" fillId="0" borderId="0" xfId="0" applyNumberFormat="1"/>
    <xf numFmtId="49" fontId="7" fillId="2" borderId="2" xfId="0" applyNumberFormat="1" applyFont="1" applyFill="1" applyBorder="1" applyAlignment="1">
      <alignment wrapText="1"/>
    </xf>
    <xf numFmtId="0" fontId="7" fillId="2" borderId="3" xfId="0" applyFont="1" applyFill="1" applyBorder="1" applyAlignment="1">
      <alignment horizontal="left" wrapText="1"/>
    </xf>
    <xf numFmtId="49" fontId="8" fillId="2" borderId="3" xfId="0" applyNumberFormat="1" applyFont="1" applyFill="1" applyBorder="1" applyAlignment="1">
      <alignment wrapText="1"/>
    </xf>
    <xf numFmtId="49" fontId="8" fillId="2" borderId="4" xfId="0" applyNumberFormat="1" applyFont="1" applyFill="1" applyBorder="1" applyAlignment="1">
      <alignment wrapText="1"/>
    </xf>
    <xf numFmtId="0" fontId="7" fillId="2" borderId="3" xfId="0" applyFont="1" applyFill="1" applyBorder="1" applyAlignment="1">
      <alignment wrapText="1"/>
    </xf>
    <xf numFmtId="0" fontId="7" fillId="2" borderId="4" xfId="0" applyFont="1" applyFill="1" applyBorder="1" applyAlignment="1">
      <alignment wrapText="1"/>
    </xf>
    <xf numFmtId="0" fontId="17" fillId="0" borderId="0" xfId="0" applyFont="1"/>
    <xf numFmtId="0" fontId="18" fillId="2" borderId="2" xfId="0" applyFont="1" applyFill="1" applyBorder="1"/>
    <xf numFmtId="49" fontId="18" fillId="2" borderId="3" xfId="0" applyNumberFormat="1" applyFont="1" applyFill="1" applyBorder="1" applyAlignment="1">
      <alignment wrapText="1"/>
    </xf>
    <xf numFmtId="0" fontId="21" fillId="0" borderId="0" xfId="0" applyFont="1" applyAlignment="1">
      <alignment horizontal="right"/>
    </xf>
    <xf numFmtId="1" fontId="3" fillId="0" borderId="0" xfId="0" applyNumberFormat="1" applyFont="1"/>
    <xf numFmtId="0" fontId="14" fillId="2" borderId="2" xfId="0" applyFont="1" applyFill="1" applyBorder="1" applyAlignment="1" applyProtection="1">
      <alignment horizontal="left" vertical="top" wrapText="1"/>
      <protection locked="0"/>
    </xf>
    <xf numFmtId="0" fontId="9" fillId="2" borderId="3" xfId="0" applyFont="1" applyFill="1" applyBorder="1" applyAlignment="1" applyProtection="1">
      <alignment horizontal="left" vertical="top" wrapText="1"/>
      <protection locked="0"/>
    </xf>
    <xf numFmtId="0" fontId="9" fillId="2" borderId="4" xfId="0" applyFont="1" applyFill="1" applyBorder="1" applyAlignment="1" applyProtection="1">
      <alignment horizontal="left" vertical="top" wrapText="1"/>
      <protection locked="0"/>
    </xf>
    <xf numFmtId="0" fontId="14" fillId="2" borderId="5" xfId="0" applyFont="1" applyFill="1" applyBorder="1" applyAlignment="1" applyProtection="1">
      <alignment horizontal="left" vertical="top" wrapText="1"/>
      <protection locked="0"/>
    </xf>
    <xf numFmtId="0" fontId="14" fillId="2" borderId="6" xfId="0" applyFont="1" applyFill="1" applyBorder="1" applyAlignment="1" applyProtection="1">
      <alignment horizontal="left" vertical="top" wrapText="1"/>
      <protection locked="0"/>
    </xf>
    <xf numFmtId="0" fontId="14" fillId="2" borderId="7" xfId="0" applyFont="1" applyFill="1" applyBorder="1" applyAlignment="1" applyProtection="1">
      <alignment horizontal="left" vertical="top" wrapText="1"/>
      <protection locked="0"/>
    </xf>
    <xf numFmtId="0" fontId="14" fillId="2" borderId="12" xfId="0" applyFont="1" applyFill="1" applyBorder="1" applyAlignment="1" applyProtection="1">
      <alignment horizontal="left" vertical="top" wrapText="1"/>
      <protection locked="0"/>
    </xf>
    <xf numFmtId="0" fontId="14" fillId="2" borderId="0" xfId="0" applyFont="1" applyFill="1" applyAlignment="1" applyProtection="1">
      <alignment horizontal="left" vertical="top" wrapText="1"/>
      <protection locked="0"/>
    </xf>
    <xf numFmtId="0" fontId="14" fillId="2" borderId="11" xfId="0" applyFont="1" applyFill="1" applyBorder="1" applyAlignment="1" applyProtection="1">
      <alignment horizontal="left" vertical="top" wrapText="1"/>
      <protection locked="0"/>
    </xf>
    <xf numFmtId="0" fontId="14" fillId="2" borderId="8" xfId="0" applyFont="1" applyFill="1" applyBorder="1" applyAlignment="1" applyProtection="1">
      <alignment horizontal="left" vertical="top" wrapText="1"/>
      <protection locked="0"/>
    </xf>
    <xf numFmtId="0" fontId="14" fillId="2" borderId="9" xfId="0" applyFont="1" applyFill="1" applyBorder="1" applyAlignment="1" applyProtection="1">
      <alignment horizontal="left" vertical="top" wrapText="1"/>
      <protection locked="0"/>
    </xf>
    <xf numFmtId="0" fontId="14" fillId="2" borderId="10" xfId="0" applyFont="1" applyFill="1" applyBorder="1" applyAlignment="1" applyProtection="1">
      <alignment horizontal="left" vertical="top" wrapText="1"/>
      <protection locked="0"/>
    </xf>
    <xf numFmtId="0" fontId="4" fillId="2" borderId="0" xfId="0" applyFont="1" applyFill="1" applyAlignment="1" applyProtection="1">
      <alignment horizontal="center" vertical="top"/>
      <protection locked="0"/>
    </xf>
    <xf numFmtId="0" fontId="4" fillId="2" borderId="1" xfId="0" applyFont="1" applyFill="1" applyBorder="1" applyAlignment="1">
      <alignment horizontal="center"/>
    </xf>
    <xf numFmtId="49" fontId="7" fillId="2" borderId="2" xfId="0" applyNumberFormat="1" applyFont="1" applyFill="1" applyBorder="1" applyAlignment="1">
      <alignment horizontal="left" vertical="top" wrapText="1"/>
    </xf>
    <xf numFmtId="49" fontId="7" fillId="2" borderId="3" xfId="0" applyNumberFormat="1" applyFont="1" applyFill="1" applyBorder="1" applyAlignment="1">
      <alignment horizontal="left" vertical="top" wrapText="1"/>
    </xf>
    <xf numFmtId="49" fontId="7" fillId="2" borderId="4" xfId="0" applyNumberFormat="1" applyFont="1" applyFill="1" applyBorder="1" applyAlignment="1">
      <alignment horizontal="left" vertical="top" wrapText="1"/>
    </xf>
    <xf numFmtId="49" fontId="11" fillId="2" borderId="2" xfId="0" applyNumberFormat="1" applyFont="1" applyFill="1" applyBorder="1" applyAlignment="1">
      <alignment horizontal="left" vertical="top" wrapText="1"/>
    </xf>
    <xf numFmtId="49" fontId="11" fillId="2" borderId="3" xfId="0" applyNumberFormat="1" applyFont="1" applyFill="1" applyBorder="1" applyAlignment="1">
      <alignment horizontal="left" vertical="top" wrapText="1"/>
    </xf>
    <xf numFmtId="49" fontId="11" fillId="2" borderId="4" xfId="0" applyNumberFormat="1" applyFont="1" applyFill="1" applyBorder="1" applyAlignment="1">
      <alignment horizontal="left" vertical="top" wrapText="1"/>
    </xf>
  </cellXfs>
  <cellStyles count="3">
    <cellStyle name="Millares [0] 2" xfId="2" xr:uid="{00000000-0005-0000-0000-000000000000}"/>
    <cellStyle name="Normal" xfId="0" builtinId="0"/>
    <cellStyle name="Normal 2" xfId="1" xr:uid="{00000000-0005-0000-0000-000002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133350</xdr:rowOff>
    </xdr:to>
    <xdr:sp macro="" textlink="">
      <xdr:nvSpPr>
        <xdr:cNvPr id="2" name="AutoShape 1" descr="data:image/jpeg;base64,/9j/4AAQSkZJRgABAQEA3ADcAAD/2wBDAAMCAgMCAgMDAwMEAwMEBQgFBQQEBQoHBwYIDAoMDAsKCwsNDhIQDQ4RDgsLEBYQERMUFRUVDA8XGBYUGBIUFRT/2wBDAQMEBAUEBQkFBQkUDQsNFBQUFBQUFBQUFBQUFBQUFBQUFBQUFBQUFBQUFBQUFBQUFBQUFBQUFBQUFBQUFBQUFBT/wAARCADeAN4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j4ffCrx1+0h8fPG/hXw74rbS7mzlvtQMmoXs6xeWl0se0bAxzmVewGAa9p/4dmfGz/oo+j/+DC9/+NUf8E6/+T1PiZ/2DNU/9OVtX6f19hmOZYjC1/Z0mkrLoux4mFw1OtT55n5gf8Oy/jb/ANFG0f8A8GF7/wDGqP8Ah2X8bf8Aoo2j/wDgwvf/AI1X6gUV5n9tYzuvuR1/UaP9M/L/AP4dl/G3/oo2j/8Agwvf/jVH/Dsv42/9FG0f/wAGF7/8ar9QKKP7axndfcg+o0f6Z+X/APw7L+Nv/RRtH/8ABhe//GqP+HZfxt/6KNo//gwvf/jVfqBRR/bWM7r7kH1Gj/TPy/8A+HZfxt/6KNo//gwvf/jVH/Dsv42/9FG0f/wYXv8A8ar9QKKP7axndfcg+o0f6Z+X/wDw7L+Nv/RRtH/8GF7/APGqP+HZfxt/6KNo/wD4ML3/AONV+oFFH9tYzuvuQfUaP9M/L/8A4dl/G3/oo2j/APgwvf8A41R/w7L+Nv8A0UbR/wDwYXv/AMar9QKKP7axndfcg+o0f6Z+X/8Aw7L+Nv8A0UbR/wDwYXv/AMao/wCHZfxt/wCijaP/AODC9/8AjVfqBRR/bWM7r7kH1Gj/AEz8v/8Ah2X8bf8Aoo2j/wDgwvf/AI1R/wAOy/jb/wBFG0f/AMGF7/8AGq/UCij+2sZ3X3IPqNH+mfl//wAOy/jb/wBFG0f/AMGF7/8AGqP+HZfxt/6KNo//AIML3/41X6gUUf21jO6+5B9Ro/0z8v8A/h2X8bf+ijaP/wCDC9/+NUf8Oy/jb/0UbR//AAYXv/xqv1Aoo/trGd19yD6jR/pn5f8A/Dsv42/9FG0f/wAGF7/8ao/4dl/G3/oo2j/+DC9/+NV+oFFH9tYzuvuQfUaP9M/L/wD4dl/G3/oo2j/+DC9/+NUf8Oy/jb/0UbR//Bhe/wDxqv1Aoo/trGd19yD6jR7fifl+f+CZvxsC5/4WPo//AIML3/41XzRqFn4s+GPxW8R+EtU8Q3V3faO8tpNLbXkpjZldQSu7Bx9RX7rH7pr8Tf2gv+Tt/ij/ANhO5/8AQ1r3cpx9bGVJQrNNJdjgxdCGHUZQ7nuX/BOr/k9X4m/9gzVP/TlbV+oVfl7/AME6/wDk9X4m/wDYM1T/ANOVtX6hV4Odf72/Rfkd2A/g/NhRRRXhnohRRRQAUUUUAFFFFABRRRQAUUUUAFFFFABRRRQAUUUUAFFFFABRRRQAUUUUANb7pr8Tf2gv+Tt/ij/2E7n/ANDWv2yb7pr8Tf2gv+Tt/ij/ANhO5/8AQ1r6jIP40/T9UeRmPwR9T3P/AIJ1/wDJ6nxM/wCwZqn/AKcrav1Br8vv+Cdf/J6nxM/7Bmqf+nK2r9Qa486/3t+i/I2wH8H5sKKKK8M9EKKKKACiiigAooooAKKKKACiiigAooooAKKKKACiiigAooooAKKKKACiiigBrfdNfib+0F/ydv8AFH/sJ3P/AKGtftk33TX4m/tBf8nb/FH/ALCdz/6GtfUZB/Gn6fqjyMx+CPqe5/8ABOv/AJPU+Jn/AGDNU/8ATlbV+oNfl7/wTr/5PV+Jv/YM1T/05W1fqFXHnX+9v0X5G2A/g/NjT0r8ifjZ+3Z8cvCHxm8faFpPjg2ulaZr9/Y2lv8A2TYv5UMVxIiLuaAscKoGWJJ7k1+u9fgd+0l/ycR8Uf8AsatU/wDSuWuvIKFOvWnGrFSVuqMMyqTpwi4ux6P/AMPD/wBoP/ooJ/8ABNp//wAj1+g//BPP4zeMvjl8Gdb13xtrB1vVbfxBNZRXH2aGDbCttbOE2xIq/ekc5Izz9K/Guv1g/wCCTX/JvHiT/sarj/0js69jPMJh6OF5qdNJ3WyRw5fWqTrWlJs+1+KyfE3iTTvB+gahrWr3AtNNsYWuLiYgttRRknABJPHQDJ7Vq18o/wDBQ7x0dE+GGleGoptk2u3gaWPYDvggw7c9iJDB9efevzfE1vYUZVex+gZNl0s2zCjgo/bdn6bt/JXOL8af8FH3ZbmDwn4RxkL5F9rE/I6Z3QR9e44l9/at39kv9prxz8aPitqWla+1kdKXTXulhtLcxiF1kjUYJYkghzwSeg96+B8D1r9AP+CdPgiTS/AfiHxNOk0bateLbw71AR4oAfnT6vJKp/3K+TwGMxWMxUYylotT954q4dyTh7I6lShRXtJWim7t3b89tE3ofXuaPeivD/2mP2l9M+BHh8QWwi1HxbeoTY6cx+VB086bByIwRwMguQQMYZl+vqVYUYOc3ZI/nrBYHEZjiI4XCx5py2R1Xxk+PHhT4I6Ml7r92zXMx222nWoD3Fwe+1cjAHdmIUcDOSAfiLx3+358RPEV3KPD0dl4UstwMYiiF1OBgAhnkGw5OTwi4yBz1PJfDb4M/EH9qzxZf65d3sjQPKPtuv6ip2Ak/wCriUfeYDJCLhVAAJXK1oftF/sm3v7P/h/TNYPiKHX7K7ufsj/6IbZ45CjOuBvfcCEfJyCMDrnj5TFYrG14OrRTjTX3/wBeh++5HkPDWU4qGAzCoq2Kl0abin27f+Ba+h1/wv8A+CgHi/QdQgg8aW8PiTSycS3EEawXaZYfMNuI2AG75dqkkj5h3++/C/ijTfGnh+x1vR7tb3Tb6JZoJ0yAykZ6HkH1BAIPBr8WMD1r79/4JzeMLjU/BPifw7NLLKmk3cdxB5jlhGk6t8ijsN8Ttgd5DVZTmFSrU9jVd77GHH3COCweC/tPAQ5OVpSS2s9L26O9tj7A/Cvin/gpB+0R8QfgKfh5/wAIJ4g/sL+1v7R+2f6Hb3Hm+V9m8v8A10b4x5j/AHcZ3c54r7Wr84/+CwP3vhL/ANxb/wBs6/Rsppwq42nCaunf8mfzbjZOFCUouz/4J85f8PD/ANoP/ooJ/wDBNp//AMj0f8PD/wBoP/ooJ/8ABNp//wAj185Vc0fRdR8RalBp2lWF1qmoTnbDaWcLTTSEAkhUUFiQM9B2Jr9IeX4OKu6UfuR8t9YrvaT+8+gf+Hh/7Qf/AEUE/wDgm0//AOR6P+Hh/wC0H/0UE/8Agm0//wCR68s/4UL8Tf8AonXiz/wR3X/xuj/hQvxN/wCideLP/BHdf/G6w+rZd/JD7kX7XE/zP8T1P/h4f+0H/wBFBP8A4JtP/wDkej/h4f8AtB/9FBP/AIJtP/8AkevLP+FC/E3/AKJ14s/8Ed1/8bo/4UL8Tf8AonXiz/wR3X/xuj6tl38kPuQ/a4n+Z/ifeH/BPb9qr4pfHD41azoPjfxQdb0q30Ca+jt/7PtbfbMtxbIr7oolbhZHGM456cCv0N4xX5ff8Ew/hl4w8GfH7Xb3xB4U1zQrKTw1cQpcalp01vG0hurVtgZ1AJIVjjPRSe1fqBXwGcRpQxbVFJRstj6PAylKinPcG+6a/E39oL/k7f4o/wDYTuf/AENa/bJvumvxN/aC/wCTt/ij/wBhO5/9DWu/IP40/T9UYZj8EfU9z/4J1/8AJ6nxM/7Bmqf+nK2r9Qa/L7/gnX/yep8TP+wZqn/pytq/UGuPOv8Ae36L8jbAfwfmxK/A79pL/k4j4o/9jVqn/pXLX741+B37SX/JxHxR/wCxq1T/ANK5a9Phv+PP0/U5c0+CJ5zX6wf8Emv+Td/En/Y1XH/pJZ1+T9frB/wSa/5N48Sf9jVcf+klnXt8Qf7n80edlv8AHPtYk1+aH7eXjRvE3xym0tJJDa6FaRWoQvuj81x5ruoB4JDoh7ny/av0g1zVrXQdHvtRvp0tbO1heeaeQ4VEVSWY+wAr8ZfFXiG48XeJtX1y7VUutSu5ryRUztVpHLEDPYbq/EM8rctGNNfa/Q/pTwvy76xmNXGyWlONl6y/4Cf3mXz261+wnwR8C/8ACtfhT4Z8ONFHDcWdmguVjcspnYb5iCQODIznp3r8yf2avA//AAsD44eE9KePzLVLxby53Q+YnlwgylXHTaxUJk8fOOtfqr4t8VaV4D8M3+ua1eJYaXYRGWeeTOFA9AOSScAAckkAcmufI6SjCdeXp/mev4o46VbEYbLKWr+Jru3pH9fvOO+PHxw0X4GeDJdW1H/Sr+bMVhp0bYe5l7DP8Kjgs/YepKqfhv4H/B/xB+1l8S9S8VeKp5n0NbjfqN2CV85uNttEewC4HH3Vx6iltbfxT+3B8c2knM9p4as2+baAE0+z3HC55Bmkx75IJ+4mF/RPwf4Q0nwH4bsdC0Oxi0/TLOPy4YIhwB1JJ6kkkksckkknJJNdkYvMqvPL+FHbz8z5yrWhwVgfq1B3xtVe8/8An3F9F5/8P2LOg6Dp/hjSLXTNLtIrDT7WMRQ28KBURR0AAr4x/wCCj/jRGHhLwlBcIz7pNTuodp3JgeXC2emDunH/AAEe1fcDEDJPSvyg/ay8cP46+PXie4EkjWunz/2ZbpIB8iw/K4GByDL5jcno3bgDTN6qo4VwXXQ5fDzAyzDPVXqaqmnJ377L8Xf5HkXPrX6Cf8E5vDgsfhv4j1p4JI5dQ1LyVkZSBJFFGu0qe4DSSDjuCO1fn1+Ffrr+zr4Gk+HfwV8J6FPFJBdw2YluYpSC0c0pMsqkjjh3YfQV4WR0uau6nRI/UvE/HKhlUMKnrUkvujq/xsek1+cX/BYHr8Jf+4t/7Z1+jtfnF/wWB6/CX/uLf+2dfqmS/wC/0/n+TP5Lx/8Au8vl+Z+cte9fsHn/AIy2+HY/6e5v/SaavJvh/wCBNR+JHiyz0HTGhimnDyS3Vy+yG1gjQySzSH+4iKzHGScYALECvs/9nq58L2fxw+FWl6TpSWiJrkq6G7rGt4tnFZXIupLoqdztPLJA4ZtyBoZkjKKm2vtM0zGnRawlrzmpfJJbs4cvymvicPUx6sqdJxu31baSS7vr6I/UfaPSjaPSlor8xPeE2j0o2j0paKAEpaKKAGt901+Jv7QX/J2/xR/7Cdz/AOhrX7ZN901+Jv7QX/J2/wAUf+wnc/8Aoa19RkH8afp+qPIzH4I+p7n/AME6/wDk9T4mf9gzVP8A05W1fqDX5ff8E6/+T1PiZ/2DNU/9OVtX6g1x51/vb9F+RtgP4PzYlfgd+0l/ycR8Uf8AsatU/wDSuWv3xr8Dv2kv+TiPij/2NWqf+lctenw3/Hn6fqcuafBE85r9X/8Agk3/AMm7+JP+xquP/SSzr8oK/V//AIJN/wDJu/iT/sarj/0ks69viD/c/mjzst/jnrn7bHjs+C/gLrMMUzQ3msPHpcLKm4MJMmVTxwDEsoz7/Svy93V9gf8ABRjxwdQ8ZeG/CsW4RadavezFZcq0krbUUp2KrGx+kv5/H/8AnvX865xW9riXFbR0P7i8Ocv+o5Iq0lrVbl8tl+V/mfaH/BOPwN52p+K/GM8bhYY00y1lDDYxYiWYbfUbYOf9o1m/tXfFjVfjp8T7D4V+CnkurKC7+zzhFwt1dgndkjnyogGycAZDtghVarV58SIv2cv2SfDWhaPNDH4y8W27XzTW7sssEM+W8/jkOIzHGpyPmXcM7CK9O/Yh/Z8/4QDwwvjPW7d18RazAPIhkP8Ax7WhwyjH998KxzyBtGAQ2fWpU5TpU8DT7Xk/Xofn2OxVLD43FcT4pXfM4UIvq4+7z+itf17aHsnwN+DumfBPwFZ+H7BvtE4JmvL1l2tczt95yOw6ADJwoAyep9D+tA60V9PCCpxUIrRH4liMRVxdaVetK8pO7Zx3xe8cRfDf4Z+IvEkhj3afZySxLMdqyS4xGhI/vOVXj1r8dGdnYszFmY5LMck56knPWv0B/wCCifjyTR/Aeg+FbeR0bWbpp7jbt2tDBtOxu4zI8TDH/PPrX5+/5718RnlbnrKkto/qf014YZb9Wy2pjZLWrLT/AAx0/O56F8APAY+JXxi8LaBJGktpNdrNdJIDtaCIGSRTjpuVCv1YV+vSLtVVHQDFfDH/AATj8A+dfeJ/GcyNiNV0q2YPxkkSTZGPaDB9zX3Rivcyah7LDc73kfmXiPmf17Ofq8X7tJW+b1f6L5BX5x/8FgPvfCX/ALi//tnX6OV8a/t9apoOi+Ivh74gkvUm8W+H1vZtH0sxCRUnmNuEvJc8BYfJYopHzSlDysbqfqcLjaeXVViqu0b/AJM/MaGV4jOascDhVec2l+OrfkkfGnhvwOfh74ej8GRNax+KNYVbvxLqDo//ABLIEHm/YnIUlUgCGe4wPvoFI/0fLcn4C/aA0vwb+01oPj6Wz1C58LaBK8Gn6em0TpZiKSOP5S5RZHZzLIFbaZJJWHWq3xY8RSeGPDX9jM5k17xFFHeag8g3PBZl/MijYsciSZlSYnAIjEJDMszrXidfT5BgquMVTM8cvfraJdodvmdvGGOw+B9lkGWSvSw/xNfaqdX8tkfqh/w9q+Hf/QoeJ/yt/wD47R/w9q+HX/Qn+J/yt/8A47X5X0V7n9g4Ls/vPz3+0MR3P1Q/4e0/Dr/oUPE/5W//AMdr6D/Zq/aW0r9pzw/q2t6JoWqaRp2n3QsvN1Lyv30uwOyqEdvuqyZzj7496/Cyv1//AOCYPhN/D37LltqLSeYNe1e81BV/uBSttt/O2J/GvEzfLMNg8P7SmtW7bnfg8VWr1eWT0PrmiiivjD3xrfdNfib+0F/ydv8AFH/sJ3P/AKGtftk33TX4m/tBf8nb/FH/ALCdz/6GtfUZB/Gn6fqjyMx+CPqe5f8ABOv/AJPV+Jv/AGDNU/8ATlbV+oVfl9/wTr/5PU+Jn/YM1T/05W1fqDXHnX+9v0X5G2A/g/NiV+B37SX/ACcR8Uf+xq1T/wBK5a/fGvwO/aS/5OI+KP8A2NWqf+lctenw3/Hn6fqcuafBE85r9Xv+CTzbP2dfEzenim4/9I7Ovyhr9Gv2IfHDfDn9hL4n67E8kV1Dr11FbSQqCyTSWllHE2D2DupPsDxXscSSVPAub6M58koTxWOp0Kau5Oy9XoeN/HrxsPiJ8YvFmvrJDLBcXzR28kH3JII8RRMMnuiIT2yeK5HQbWyvNasYdRuGtdOaZftUyDLRw5y7AdyFBIA6njnoaHNWdN0261jUrTT7KFri8u5kgghj+9JIx2qo56kkD8a/mKU5VKvPa7bP9GKOGp4LAxwyfLGEbX7JK1z6f+B/hHUf2s/j1feMfElux8N6XIkr2rlZIQqn9xZjPBXALNhcHDZAMlfopGoVQAMAcV518A/hNa/Bn4Z6V4eiEb3ir519cIB+/uGALtnAJA+6uRnaqg9K9GzX6NgsO6FP3/ierP434lzeOaYy2HVqFNcsF2iuvq9/+GF5pGbauT0pfasbxZ4htfCfhnVtaviy2en2st1MUGW2IhZsD1wDXe3ZXZ8rCLnJRjuz8zP20PHEfjb4/a39nljmtNJjj0uJ1yM+XlpAc9xK8i/8Brw3A9at6tql3ruqXmpX0pnvbyd7ieVgAXkdizNgdMk9hXS/B/wW3xE+KHhjw55LTxX99GlxGjbW8gHdMQfaNXP4cc1+X1JPFYhv+Zn9x4KjTyLKIU5aKlDX5K7f6n6afst+Av8AhXfwO8MadLAYL6e3+23YeHy5PNl/eFXGM7kDLHzzhAK9aqOJPLjRfQYrK8VeKtK8E+H77W9avY7DTbOMyzTyZwoHoBySTgAAZJIA5NfpcIxpU1HZI/ifE1quYYqdZq86km/m2Ynxa+KWjfCDwTfeItanWOKFdsMG7D3EpztiQd2J/IAk4AJr8t/GXxBufGOq698U/HofULGBxDBaJlI7q7KsbayQAgrENpaQggiNHO7zZE3eh/EPxx4q/bR+MVjo+hWUsGlQsy2Nq/3baDI8y5nI4BIwT6fKi7mOWy/+ClXwx0b4R+C/gv4c0SDyreAas0szcvcTEWW+Vz3Y4/AYAwABXNltFZ3mEKUv4MX/AOBNK/3H6LjJx4GyiTX+/V1/4Lg/1f8AW2vxJ4g1/UPFevajrWrXJvNU1G4e7ubgoq+ZI7FmO1QFAJJ4AAA+lemfsmeA9D+Jv7Q/gzwx4ksf7R0PULiWO6tfOki8wLBI4G5GDDDKOh7fWvJK97/YP/5O1+Hf/X3P/wCk01fuOK/d4WfJpaL/ACP50pt1K0XLW71P0s/4d3/s+f8AQgn/AMHOof8AyRR/w7v/AGfP+hBP/g51D/5Ir6QozX5T9dxX/P2X3s+w+r0f5F9x83/8O7v2ff8AoQP/ACs6h/8AJFe1fDn4c+HvhN4N0/wr4VsP7L0Gw8z7NaefJNs3yNI/zyMzHLux5J646V0v1pcGsqmIrVlapNtebbLjShB3jFIWiiisDUa33TX4m/tBf8nb/FH/ALCdz/6Gtftk33TX4m/tBf8AJ2/xR/7Cdz/6GtfUZB/Gn6fqjyMx+CPqe5/8E6/+T1PiZ/2DNU/9OVtX6g1+X3/BOv8A5PU+Jn/YM1T/ANOVtX6g1x51/vb9F+RtgP4PzYlfgd+0l/ycR8Uf+xq1T/0rlr98TX4HftJf8nEfFH/satU/9K5a9Phv+PP0/U5c0+CJ5zX1H4F1690H9kTSfD0kEkEWv+Lb3WEk37fMt4ba2gHy91MvmDPZoDXy5X1f8WNMtfCmuab4Osnt5LfwnplvojyW2/ZJdIDJeN8/zc3ctyew5GABiseOcWqGXKkt5v8A4c/QPCrK3j+IIVpK8aScvnsvxdzifwr6t/YA+E//AAlHj688ZXsLNYaEvlWu5Tte6kUgnPQ7EJ47GRD2r5Xtrea8uIre3ieaeVgkcUalmZicBQB1JJHT1r9Z/wBm34Yn4TfCHQtFuIEh1Ro/tV/tC7vtEh3MGZSQxUYTdk5CDmvxfJ8N7avzyWkdf8j+jfEXOf7Oyr6rTlapW0/7d+0/0+Z6lS0UV9+fyaJXi/7YmrXei/s5+Mrizfy5nhitmbGcxyzRxSD8UdhXs9c/498Jw+OvBeueHrmQxQanZy2jSKoYpvQruGe4zn8KxrRc6cox3aZ6GXV6eGxtGvVV4xlFteSabPxi/Cvon9g2z0y6/aAtZb+VI7m10+4lsA8gUvN8qEAfxHynlOOeAT2rxHxp4P1TwB4q1Lw9rUH2fUtPmMUqjO1sdHXOMqwwwJ6gisux1C60u8gu7K5mtLuBxJFPBIUkjcchlYHII9a/M6M3ha6lOPws/tjMsOs8yqpQw1SyqxspeTX5P8j9mvF3jTRfAfh+71rXdRh07TbVN8k0p/IADlmJ4CgEkkAAk1+cPxv+Onij9qnxtYeGvDen3I0lp8adpK48yd8f62U52ggZJydqLkk8Fq8utJPHXxs16w0dbvWfF2pLkW8FxcyXHkgkKWy7YRSduWOB6mv0a/Zn/Zn0z4E6Ebm58rUfF17GBe6io+WNeD5EOeRGDjk8uRk4AVV+q9tVzWXJBctPq+r8j8JeXZfwDT+s4marYx/BHpH+8/68l1Zp/s3/AABsPgP4LFoGju9dvdsuo3yDh3H3UTP8CZIHrknjJFfIP/BYD73wl/7i3/tnX6OV+cX/AAWA4b4Tf9xf/wBs6++yGnGjjKUILRX/ACZ+FZ1jK+PVXE4mXNOWrfzPzmr1v9k3x5oXwx/aH8GeJ/Et9/Zuh6fcSvc3XkvL5YaCRAdsaljlmHQHr6V5JRX6rVpqtTlTls9D4WEnCSkj9p/+Hin7Pf8A0P5/8Euof/I9H/DxT9nv/ofz/wCCXUP/AJHr8WKK+Z/1bwv88vvX+R6v9qVuy/r5n7T/APDxT9nv/ofz/wCCbUP/AJHo/wCHin7Pf/Q/n/wTah/8j1+LFFH+reF/nl96/wAg/tSt2X9fM/dz4TftWfC345eI7jQvBHij+2tVt7Vr2S3/ALPurfbCrojNuliVT80iDGc8/WvWq/Jr/gk7/wAnHeIf+xVuf/Suzr9Zq+NzLCwweIdGDuvM9zCVpV6XPLcRvumvxN/aC/5O3+KP/YTuf/Q1r9sm+6a/E39oL/k7f4o/9hO5/wDQ1r1cg/jT9P1RyZj8EfU9z/4J1/8AJ6nxM/7Bmqf+nK2r9Qa/L3/gnX/yer8Tf+wZqn/pytq/UKuPOv8Ae36L8jbAfwfmxrV8deOv+CYfw88e+Ntf8TXviXxPb3utajcalPFbzWwjSSaRpGCgwk7QWOMk9O9fYvWjFeXQxNXDNyoys2dlSlCqrTVz4ksv+CUvw5029t7u28X+LYrm3kWWKQS2pKspypwYCDgjvxXf+Jf2CfBPizxVq2u32ta8tzqV3LezRW88KxiSRy7hQYiQuScAkn3NfTnejissZUlmCX1p81trno5bjMRk8pTwE3Tct7M8o8B/su/DT4b6xDq2ieGo01SFdqXV1PJcMh/vKJGIVv8AaUA8kdzXq+32paTmuenThTVoKyFisZiMbP2uJqOcu7bb/EdRRRWpyBRRRQB5x8W/gJ4N+NFiIfEWmh7uNSsGo2zeXcwZB+64HIGc7WyueSDXisP/AATp8ApcBn13xFJECDs8+AZ9ifJr6vxR2rkqYWhVfNOCbPfwef5pgKXscNiJRj2T0+XY4/4d/CXwn8KdNex8L6Lb6XHJjzZFBeaXBJG+Rsu+NzY3E4zgV2FFHauiMVBWirI8atWqYibq1pOUnu3q38wrw39pn9krwz+1G3hs+ItV1bTP7C+0+R/ZbxLv87yt27fG3TyVxjHU17l7UCt6VWdGaqU3aSOacI1I8stj4f8A+HS/wz/6GvxZ/wB/rX/4xR/w6X+Gf/Q1+LP+/wBa/wDxivuGjFel/auN/wCfjOX6lh/5T4e/4dL/AAz/AOhr8Wf9/rX/AOMUf8Ol/hn/ANDX4s/7/Wv/AMYr7hxRij+1cb/z8YfU8P8Aynw9/wAOl/hn/wBDX4s/7/Wv/wAYo/4dL/DP/oa/Fn/f61/+MV9w4oo/tXG/8/GH1PD/AMp84fs6fsOeEP2afHF74o8P63repXl1pz6a8OpSQtGEaWOTcNkanIMS9Tjk8V9H4pKWvOrVqmInz1HdnTTpxprlgtBG+6a/E39oL/k7f4o/9hO5/wDQ1r9sm+6a/E39oL/k7f4o/wDYTuf/AENa+jyD+NP0/VHmZj8EfU9z/wCCdf8Ayep8TP8AsGap/wCnK2r9Qa/L7/gnX/yep8TP+wZqn/pytq/UGuPOv97fovyNsB/B+bGmvF/Cf7RX/CTftOeNvhE2gC1HhvTYdQ/tr7bu+0b47d9nk+WNmPtHXefue/HtJr86viB/ydd+15/2TG5/9NtnXBhaUavOpdFp63S/U6K1R0+Vrv8AofoR/a1j9ujs/ttv9sePzVt/NXzGjzjcFznbnvTbrXNOsby3s7i/tbe7uP8AUwSzKskn+6pOT+Ffl/4B+EfhLw98BP2Y/iDp2jpaeMdT+Ilja3mqJNJvmiN3cjay7tuAIIu3G0/3mz1nxq+Go+A/xe8bfFD4ieEtF+MXgXWdZinN8+qGHU9EPmxmOHyXbbKEVvLEa53JCu4xLla7fqEPaOCn36LVp272/Ew+sy5btdvx+R95/wDC1vDB+Jj+ABqQPildL/tlrPynCi280RBvMxtyXONud3GcYrD074qazpcnxC1Dxx4VXwd4T8MBri01v+0o73+0rVFleSbyIl3xbURG2Hcx8zA5FfN2pfBf4dX3/BQ+fTdU8O6Y9vqPg1teS3uBxcamdRJacAn5pNqyHjsGOMA15ponhHSPF1x+3WmsafBqC6fJLqNoJlz5NzFHqbRyr6Mp7/X1qY4WjbRvZP72lpqDrTvt1f4I/QXwT480T4heE9M8SaJeC40nUIFuLeaRTGTG33SVbBXPoRW61xHGxDSIp27iCecetfmz4z8B+E/Dv/BMNfEHhzTbO21DXbbSW1W8teWuZorsKd5z1R2kX2Oa9b+Imm6X4w/4KMeE9MvY4NT0rUPh5Pa3MJO5JoZHvQyHB6MrfkaU8FG7cZaLm6fy2GsRKyutdPxPqL4f/Fbwz8UF1w+HNR+3DRdUm0e83RPFsuogvmIAwG4DeBuGQecE10UOr2NxfTWMV5byXsIDS2ySqZEB6ErnIHI6jvXwP+z74J8O+Bfhb+034n8Oadbab428Mav4lstLvLcZubG2jtgYI1HZQ6NjI6qeuMV5nN4K8NfDv9mv9nf4ifDu3WX4m33ii3j/ALRgkeO6vpHM63Fs6gr5iCREh5GNuRnEjbr+o05TlGEnvZadbX112JWJnZNrzP0H/aJ+MR+Afwd1/wAd/wBk/wBuf2V9n/0A3P2bzfNuI4f9ZsfbjzN33TnGOM5HnVz+2ZpU37JVx8bdK0T+0TaCGK78Ptfqj29w1zHBJE8oRsbTIHBKAspQ4Xdw3/gofz+x34+J/wCof/6cLavlL9uGw1D9n28+KHh2JJpfA/xajttYsEUl1s9Yt723kuxhpTtWRNzswQZLwoOIyaMHhqWIhBNe85fela6/Fv5BXrTpylba346n6W3etWGl2cVzqF7bWEUmAHuJVRdx6AEkc1bkuooIHmllSOJFLNIzAKFHJJPpXw78fo/Bnxn/AGjb/wAEv8OND8QeIfDfheO81LxD4p8QXml2tvZbhI0SCCNgSouUcS9izjjbXh39qXuo/sofst+HNbkZfhzrHiye38R3E1w8EflJqTLHDJKHG1DG1w3XjyVII2ClHL+eKd7X9Nmm9NfLrYbxXK2rf1p/mfov8SPiF4g0Xwvp+qeAfC1v8Rbi4vktpba31mCySKEq+6YSuCrFWCLsHJ357Guzvta0/SRD9tvbez85/Lj8+ZU3t2UZPJ9hXwp+3x8L/B3wn/Z78M6V4L0i20bTrjx7Z3k9tauzJ55sp0LYLHBKRx8DGcZ6kk7Vx8P/AIf/ABf/AGv/AI/2vxMa31KHQ9D0uPTIdRu9i2Fk9mJLqaIFv3YR3RjIPuGUnjdznHC05U1O+mvTXRpd/Mp1pRlbrp6df8j7baZFwC6jJwMnrVew1ay1W3M1jd295CCVMlvKrruHUZBxkV+U4s5PiP8AA39kLSPFSyappl94sudJZZrhy01kb+KHyy2dyhU3RqFI2qi4xgY9Nhk8F/s3fEv9rTTIvDbz+AbfQ9Ljl8N2c7xrcG5gVDH5mS0atJdvllPyK7FR8oFaSy5axUry16dpcvcn611a0/4Fz9CLHWtP1SSeOyvra6kt22zJBMrmNueGAPB4PX0NeX/s3fG69+OWjeM7690uDSzoXii90GJIJGcSRwrEVkYkfePmHOOOK+O/gv4X03wn+1H+z7quheFtD8CW3izRtQ1AaXoevXV/cS2D6e0tuLxZkTDBgfmUsHaNv+eYr3n/AIJ+Z/4RH4s88f8ACxNW/wDRdvUVsLCjTbTvt+bT6vsOnWlUkv67HvXxT+IFv8OvAviPWVe2n1HTNJvNTt9PmmCNceRC0hUDrj5eSAcZrmf2cfjTJ8afgV4f+IOrWtroT6gtyZ4VnzDCIriWHdvbHBEe7npn2zXw3eeA/D/xa8aftma/8RbBbzxH4bimOiS3TyW72sUSXQtnRVKhgVt7TDEHcMdRI27ldKzrPwQ/ZG8OXtlBrWhX+o+IJpdDvtU/s+0v7mO9YQJLLscA5kZRlST5jLxuyOqOX05QUb+9dXf/AG65aa6/gZPEyU27af8ABsfq7Z3sGoW8dxazxXNvINySwuHVh6gjrU9fLn7GHwf8T/CfxJ8VTqen2Hh7w5q2pW9zpvh3TNW+3w6bLskM6ZCrtJVrbqoJUJ2Ar6iWvGr040qjhF3R305OcVJqwrfdNfib+0F/ydv8Uf8AsJ3P/oa1+2TfdNfib+0F/wAnb/FH/sJ3P/oa19DkH8afp+qPNzH4I+p7n/wTr/5PU+Jn/YM1T/05W1fqDX5ff8E6/wDk9T4mf9gzVP8A05W1fqDXHnX+9v0X5G2A/g/Nja+QfiZ8YvgV4J+OXxC0fVfBfiDWvHWqaXHpviGTSbGW6F1ZSW8OEIEnC+W0SllVeQOa+vq/PC6b4jL/AMFKPiwfhinhl9f/ALBthMPFX2j7L9m+z6du2+R83mbvLxnjG7viuXA041HPmeijfe3VG2Ik4qNurPqL4V+A/hl8Svg/4Jj0jwfe6X4W0HU/7U0XS9UWe3ns7qGWXbKVL7j87yN8xYHdyKj8UfsifA688W3/AI/1/wAF6V/aSyPqN7e3lzKloWALSSzQmQQkfeZi6YJyWz1rlv2pv+FySfs7aGdEju18Wi/tW8TJ4BlYTmzCuZxZGQeaCXEWNoLYznK7s+c+HdU8LfEj9kP4z6LoXjv4lXmqaTbXlzqsPjPUD/bWnyRRMRaSHG1YZDbOrRjOQ8qkg5AuEajXtITaTdtG3a7W/r+JEpRT5ZR6Hv8A42+CHwc/ajs9I8SaxpWk+NLeFWistY02+fDorsGQT28g8xVfeNpYhW38Ak113hj4P+DvB+teK9V0jQoLW+8VSibWpC7yC9cb8bldioH7x+AADuORXyJ+yKuj/CX9g/VPHuueNvE2n6ZqtjdRuqXXnR6Q63d1bxtp8W391LI8iMckhpNpOBmuc+AnjzX9P/ae+FltoviP4u3PgrxdYX5ltfifIk6Xix2jzxy2rh2UjIiOQqsBj5mWUgXLDVb1KcZvlhfvbTV/kSq0FyycdZWPpXWP2c/gx8F/hX8TLpPA6jwzqOnPf6/p0NxNMbqK1WSZREsku2N1JcpsKYbaQRtBHnvg/Qvg78HfCvw5+JXwz+EurXut+KZYdN0ays53e9EdyryyGZpJmjGyJJWLOxACgFlTLL5R4p0vxl8dNO/ai8Van8S/EekWXg+51XSNO8OaTemPTpbe2hmEiXFuchxLGFXIwd29ueAOubxNrHhv9nL9kZdI1a+0pdQ8UaBZXi2Ny8Iubd1ffDJtI3xtgZVuDgZrf2VSMLSqNtvXV2+G+vcz9onLSNl027n0vp/7NPwz0v4rN8SbLwnbWXjR3lkbUbeaWMGSRGSRzEr+UWcO25tmSWJJyc1yFv8As5/s9fCP4kaT4iPh/wAN+HPFWpXmNKS9vjGstyWXAtbaSTyxIGZNoiQFSw24zXg/7Tmt+J/Dfx/8Qaj8Qdf+K/hf4TC3sY9G1r4e3YgsrTcI0ma82g9ZnbBb94cKFDAqBmftyeGtP8dfGX9mnVdL8V64NL8TX0Fna3Gn35VbaIz2rJeWpIJSdhcA+Yc58uLj5ecqdGrJxUqjtJefRXt/wC5VIpNqGz/Xc+sPjRrngrxFr3hf4ReM9DvdbtvHguvKjiytuv2NUuG811kV05CbdgOSMHArqPil8IPCHxo8Pw6H400WLXNLhuVu44JJZItsyqyhg0bKR8rsOvQmvGvH91q/gX9oz9mbwnZ+JNbutLktNZtL/wC2X7u+p+RYR+XLdYIWaTcN+5l+8xIwa81+Huk+J/2rvjl8ZW1v4meMPCGj+D9aGhaXpPgzWmsEEcUk6NJMuxtzOYw27OclxnaqgYKjJQjOMrJK/XvbQ0dRNuLV7u34XPpH4kfsz/DL4u+JNK1/xf4StNc1XS0WK2nmllUeWr71SRFYLKgbJ2yBh8zccnM11+zl8N7z4YR/DyfwlZzeDopZJodMdpCIZHd3Z433b423SPhlYEBiAQOK+bv2rvHGmeJPi5qXhTQvFPxkTxbo+iqZdM+GhAs7Nm3SJNdIXRpSRLDnawG0KNwJNZMPjb4t/Eb9gb4ba9ouo+JtW1qbVhF4hu/DTqusz6XDdXMTGBsbjN+7t/mTLMclsqXzpGjXdOEnUsrre+l7tMl1KfNJcp9Gaf8Asf8Awh0zwRH4Qt/B0I8Ox6outLZSXtzJ/pipsWXc0hYnYdu0nGO1aPxW/Zf+GHxu1W01Pxn4Tt9Y1C1j8qO6Wea2lKZyFdonQuoOcBsgbmxjJzx37GvjLwv4j8F6/Y6D4r8b+IdS07U3TVbL4h3Jm1fS5sCMQOMfIn7piAM/MZATuBVe0/aO+K+p/Bn4Y3fiPSdI/te6jljh+fPlQBjjzZcc7QcDjqWUcckcFetVw0pSnNprrrc9HBYV4+pChRirzaS2tc1tX+B3gTXl8IC78N2nl+ELhLrQooC0MdhIm0qURCAQCi8MCOBxXkPx28cfBD4L+MdbHiHQLnX/ABv4+tYbW/0XR7eS8vNRtlXyUzEXCIoC7RgqzbTjcVOPYfgr48vvid8MtB8T6jpTaLd6jCZGs2JIADlVdSQCVcAOv+yw69a8B+CsOkSf8FAv2gZ70xr4jj0/SUsk3fN9kNtD55A/3ltc+5HrW2Fl7WMqkm7JX381+ruzHGUZYao6EkuZOz66rf1OU0TxB+zb8Afhl4b+MmhfDTXtMS31mfTbRmtZhqUF1LDJHMrm5nAkjCxyJw7orF9uG34+uPAnw28NfDG01WDwzpaaVDqmoTareJHI7+bdShQ8h3McZ2rwMAY4FfLX/BVgA/s56KBx/wAVNa9P+ve5rU+Ful+Ifg/+2VJ8Pf8AhP8AxZ4x8Oal4L/tt4/FmpfbniuReNGDG21dgCqeFAzuOc7Vx1TpuvQVXmd3zbtvRW/zOOMvZz5LdvxMr4hal+zv8SPDPjb45+K/hnqGqTeENV/sDUWmjCT3ksbwwh/JW4EUyjz4wGlO7amP4VFe0eG/gl8J/id+z74W8OR+Doj4AurSHVdO0q7dxLa+cDMGEiyF0k/fPllk/jYZIPPx/wCJPFet+Lf2Df2i59d1jUNamtfHjWlvJqF087QwLeaeUiQuTtRSxwo4GTxzXRfGb4keJtD+GP7MPg3RdR8X6fpWv+H4bjVF8BQeZrVzHb2ds6x23KkdX3EHhcsQwXaeh4epJKEZtNN9XZJJPQzVSK95rddu7sfaHwq+Dvg/4I+G5NB8FaKmh6VJcNdSQrNLMXlZVUuXkZmJwqjr0ArtuK+Uv2FPEvxG1CLx9onjOy8Yp4e03UI5fDeoeO7OWLVZ7aZpt0c0j8SlBHGflzgyEZ27APqz+dePiIyhVanK77nfSkpQTSsDfdP0r8Tf2gv+Tt/ij/2E7n/0Na/bJvumvxN/aC/5O3+KP/YTuf8A0Na+gyD+NP0/VHm5j8EfU9y/4J1/8nq/E3/sGap/6crav1Cr8vv+Cdf/ACep8TP+wZqn/pytq/UGuPOv97fovyNsB/B+bG186+Ov2KfD3jT4ua78Rrfx1478JeI9YiiguZPDOrR2S+WkUUYQEQl9pEKMQWILDPoB9FfSlrx6dWdJ3g7XO2cI1FaSPFbr9mdrn4Z2/g7/AIWr8So2h1E6iuvJr+3VGyjJ9necR/ND827YR1C88Yp/wf8A2V/CPwh0XxhYx3useK7rxcf+J3qPiO7+0XF4uxk8tmVVyv7yU5I3EyNljhcezUVXt6lnG+4vZwvex86eEf2H/B/hf4W+Kvh1L4l8Xa74Q16KOJdP1XUkdNOKSNKslqqxqsb+a3mH5SrFV3BhnLvht+xL4W+HHjzwl4vXxZ4v1/V/C8Etnp39tajHPDHbPA0CwbBENqIruVCFeWOcjAH0TmlrT61W1XNvv+RPsaemmx8yeMv2B/B3izxb4u1u18X+NvC0XixzLrOleH9Ujt7O8cg7i6GJi4YvKxVywzI2MDiu6uv2Y/DF34L+Gnhh9Q1YWPgDU7LVdMkWaLzZpbUERrOfLwyncc7QpPYivYaSpeJqySTlt/ww1RgndI8A+MP7INh8aPEGrX2rfEr4habpWqqiXPh3S9aWPTNqxomFgaJgASm4g5yzMe9a/wAWP2UvBvxV8H+DtAafVfDK+D2ibQtQ0G6EV3YiNAiIkjq5wNkRz97MaHd6+0nNJihYiqrWltsHsYO+m55e3wD0m48SfDLxBe63repat4Atbm1sLm8uUke98+3WCSS6YoWkcqobcpXLEk56VxHi79i3w9r3xB1zxdofjbxx8P77XXSXVLfwfrAsILuRQ2JHURk7yXYk5xlmOAWJP0PRSWIqraXl+N/zD2UH0Pn74jfsY+EviL8TdU8bt4h8VeHtR1m0jsNZtdD1IW8GpwIqr5cwKFgrIiIyoyghOgYljo237KelaR8D/D/wx0Dxt408MaZot1LdQaromqJa6hLveZzHLIkQVo907HaFH3E5459w9zS03iarSi5aL9A9jC7dtzyT4B/s2+Hf2fYfEMmk6lrGvav4gulu9T1jXroXF1cuoO0MwVRgF5GyQWJkbLHjHrLKGXDLkehp3X3pKxqTlUlzTd2aRioK0RFUKvyjaPSvEPjB+yX4Y+LXjez8Zxa74k8E+Lre2Nm2s+E9QFlPcRfwrKdrZ28jK7SQcEkKoHuPrR1p06kqT5oOwSipq0j548UfsX+H/HHwnHgHxJ458c+IrBdZXWk1TVtVjur9ZBCYhEJJISBFgs23bncxOecV6RcfBrRrj42W/wAUGu78a/DoZ8Prbb0+ym385pt5XZu37mIzvxjt3rvqWr9tUatfTX8dyPZw7Hgv/DHPg1vhD44+HJ1TXf7F8Xay2uX1x58P2mKdpIJCsTeVtCZt04ZWOC3PTE/xF/ZF8J/Ebwb4B0OfV/EGjXfgeGODRdc0i9W3v4VWJI+X2Fct5UbEqoOUGCoJB9yoqliaqd1LzE6UGrNHDfCH4XH4S+GZ9HbxZ4m8YtNdNdG/8Vaj9tuUyiL5aPtXEY2ZC9izHPNd1mk4peKwlJyd2axSirIRvumvxN/aC/5O3+KP/YTuf/Q1r9sm+6a/E39oL/k7f4o/9hO5/wDQ1r6fIP40/T9UeTmPwR9T3P8A4J1/8nqfEz/sGap/6crav1Br8vv+Cdf/ACep8TP+wZqn/pytq/UGuPOv97fovyNsB/B+bCiiivDPRCiiigAooooAKKKKACiiigAooooAKKKKACiiigAooooAKKKKACiiigAooooAa33TX4m/tBf8nb/FH/sJ3P8A6Gtftk33TX4m/tBf8nb/ABR/7Cdz/wChrX1GQfxp+n6o8jMfgj6nuX/BOo4/bV+JpP8A0DNU/wDTlbV+oG4V+KGoeC/iF4D+KnirWfCnigeHb26vruJrnT72aCVomn3lGZUzglVOM4yo9K1P+Eu/aC/6K1rH/g7uv/ia9DG5VPGVfbQmkml3OfD4pYeHJKJ+zeRRkV+Mn/CW/tA/9Fa1j/wd3X/xNH/CW/tA/wDRWtY/8Hd1/wDE1wf6v1v51+J0f2jH+Vn7N5FGRX4yf8Jb+0D/ANFa1j/wd3X/AMTR/wAJb+0D/wBFa1j/AMHd1/8AE0f6v1v51+If2jH+Vn7N5FGRX4yf8Jb+0D/0VrWP/B3df/E0f8Jb+0D/ANFa1j/wd3X/AMTR/q/W/nX4h/aMf5Wfs3kUZFfjJ/wlv7QP/RWtY/8AB3df/E0f8Jb+0D/0VrWP/B3df/E0f6v1v51+If2jH+Vn7N5FGRX4yf8ACW/tA/8ARWtY/wDB3df/ABNH/CW/tA/9Fa1j/wAHd1/8TR/q/W/nX4h/aMf5Wfs3kUZFfjJ/wlv7QP8A0VrWP/B3df8AxNH/AAlv7QP/AEVrWP8Awd3X/wATR/q/W/nX4h/aMf5Wfs3kUZFfjJ/wlv7QP/RWtY/8Hd1/8TR/wlv7QP8A0VrWP/B3df8AxNH+r9b+dfiH9ox/lZ+zeRRkV+Mn/CW/tA/9Fa1j/wAHd1/8TR/wlv7QP/RWtY/8Hd1/8TR/q/W/nX4h/aMf5Wfs3kUZFfjJ/wAJb+0D/wBFa1j/AMHd1/8AE0f8Jb+0D/0VrWP/AAd3X/xNH+r9b+dfiH9ox/lZ+zeRRkV+Mn/CW/tA/wDRWtY/8Hd1/wDE0f8ACW/tA/8ARWtY/wDB3df/ABNH+r9b+dfiH9ox/lZ+zeRRkV+Mn/CW/tA/9Fa1j/wd3X/xNH/CW/tA/wDRWtY/8Hd1/wDE0f6v1v51+If2jH+Vn7N5FGRX4yf8Jb+0D/0VrWP/AAd3X/xNH/CW/tA/9Fa1j/wd3X/xNH+r9b+dfiH9ox/lZ+zTMApOa/E79oD/AJO2+KP/AGE7n/0NK1/+Es/aB6f8La1j/wAHd1/8TXN6L8JvF2ueLtQ1XWNYtdT1G7V5Li6ubmWSSVyykszFMkn1r18ty2eBnKc5J3RyYjELFKMYo//Z">
          <a:extLst>
            <a:ext uri="{FF2B5EF4-FFF2-40B4-BE49-F238E27FC236}">
              <a16:creationId xmlns:a16="http://schemas.microsoft.com/office/drawing/2014/main" id="{A4DC6F7C-EF05-438B-9C53-CC0166F9AE14}"/>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0"/>
  <sheetViews>
    <sheetView topLeftCell="A17" zoomScaleNormal="100" workbookViewId="0">
      <selection activeCell="A5" sqref="A5"/>
    </sheetView>
  </sheetViews>
  <sheetFormatPr defaultColWidth="11.42578125" defaultRowHeight="13.15" x14ac:dyDescent="0.4"/>
  <cols>
    <col min="1" max="1" width="37.7109375" style="10" customWidth="1"/>
    <col min="2" max="2" width="14.42578125" style="10" customWidth="1"/>
    <col min="3" max="5" width="11.42578125" style="10"/>
    <col min="6" max="6" width="14" style="10" customWidth="1"/>
    <col min="7" max="10" width="11.42578125" style="10"/>
    <col min="11" max="11" width="10.28515625" style="10" customWidth="1"/>
    <col min="12" max="16384" width="11.42578125" style="10"/>
  </cols>
  <sheetData>
    <row r="1" spans="1:11" ht="18" x14ac:dyDescent="0.4">
      <c r="A1" s="53" t="s">
        <v>0</v>
      </c>
      <c r="B1" s="53"/>
      <c r="C1" s="53"/>
      <c r="D1" s="53"/>
      <c r="E1" s="53"/>
      <c r="F1" s="53"/>
      <c r="G1" s="53"/>
      <c r="H1" s="53"/>
      <c r="I1" s="53"/>
      <c r="J1" s="53"/>
      <c r="K1" s="53"/>
    </row>
    <row r="2" spans="1:11" ht="18" x14ac:dyDescent="0.4">
      <c r="A2" s="53" t="s">
        <v>1</v>
      </c>
      <c r="B2" s="53"/>
      <c r="C2" s="53"/>
      <c r="D2" s="53"/>
      <c r="E2" s="53"/>
      <c r="F2" s="53"/>
      <c r="G2" s="53"/>
      <c r="H2" s="53"/>
      <c r="I2" s="53"/>
      <c r="J2" s="53"/>
      <c r="K2" s="53"/>
    </row>
    <row r="3" spans="1:11" ht="18" x14ac:dyDescent="0.55000000000000004">
      <c r="B3" s="11"/>
      <c r="C3" s="11" t="s">
        <v>2</v>
      </c>
      <c r="E3" s="11"/>
      <c r="F3" s="11"/>
      <c r="G3" s="12"/>
      <c r="I3" s="11"/>
      <c r="J3" s="11"/>
      <c r="K3" s="11"/>
    </row>
    <row r="4" spans="1:11" ht="18" x14ac:dyDescent="0.55000000000000004">
      <c r="A4" s="54" t="s">
        <v>3</v>
      </c>
      <c r="B4" s="54"/>
      <c r="C4" s="54"/>
      <c r="D4" s="54"/>
      <c r="E4" s="54"/>
      <c r="F4" s="54"/>
      <c r="G4" s="54"/>
      <c r="H4" s="54"/>
      <c r="I4" s="54"/>
      <c r="J4" s="54"/>
      <c r="K4" s="54"/>
    </row>
    <row r="5" spans="1:11" ht="15.75" x14ac:dyDescent="0.45">
      <c r="B5" s="13"/>
      <c r="C5" s="13"/>
      <c r="E5" s="14"/>
      <c r="F5" s="13"/>
      <c r="G5" s="13"/>
      <c r="H5" s="13"/>
      <c r="I5" s="13"/>
      <c r="J5" s="13"/>
      <c r="K5" s="13"/>
    </row>
    <row r="6" spans="1:11" ht="15.75" x14ac:dyDescent="0.45">
      <c r="A6" s="15" t="s">
        <v>4</v>
      </c>
      <c r="B6" s="13"/>
      <c r="C6" s="13"/>
      <c r="E6" s="14"/>
      <c r="F6" s="13"/>
      <c r="G6" s="13"/>
      <c r="H6" s="13"/>
      <c r="I6" s="13"/>
      <c r="J6" s="13"/>
      <c r="K6" s="13"/>
    </row>
    <row r="7" spans="1:11" ht="18" x14ac:dyDescent="0.5">
      <c r="A7" s="37" t="s">
        <v>5</v>
      </c>
      <c r="B7" s="31"/>
      <c r="C7" s="34"/>
      <c r="D7" s="34"/>
      <c r="E7" s="34"/>
      <c r="F7" s="34"/>
      <c r="G7" s="34"/>
      <c r="H7" s="34"/>
      <c r="I7" s="34"/>
      <c r="J7" s="34"/>
      <c r="K7" s="35"/>
    </row>
    <row r="8" spans="1:11" ht="15.75" x14ac:dyDescent="0.4">
      <c r="A8" s="16"/>
      <c r="B8" s="16"/>
      <c r="C8" s="16"/>
      <c r="D8" s="16"/>
      <c r="E8" s="16"/>
      <c r="F8" s="16"/>
      <c r="G8" s="16"/>
      <c r="H8" s="16"/>
      <c r="I8" s="16"/>
      <c r="J8" s="16"/>
      <c r="K8" s="16"/>
    </row>
    <row r="9" spans="1:11" ht="15.75" x14ac:dyDescent="0.4">
      <c r="A9" s="15" t="s">
        <v>6</v>
      </c>
      <c r="B9" s="16"/>
      <c r="C9" s="16"/>
      <c r="D9" s="16"/>
      <c r="E9" s="16"/>
      <c r="F9" s="16"/>
      <c r="G9" s="16"/>
      <c r="H9" s="16"/>
      <c r="I9" s="16"/>
      <c r="J9" s="16"/>
      <c r="K9" s="16"/>
    </row>
    <row r="10" spans="1:11" ht="18" x14ac:dyDescent="0.5">
      <c r="A10" s="30" t="s">
        <v>7</v>
      </c>
      <c r="B10" s="38" t="s">
        <v>8</v>
      </c>
      <c r="C10" s="31"/>
      <c r="D10" s="17"/>
      <c r="E10" s="32"/>
      <c r="F10" s="32"/>
      <c r="G10" s="32"/>
      <c r="H10" s="32"/>
      <c r="I10" s="32"/>
      <c r="J10" s="32"/>
      <c r="K10" s="33"/>
    </row>
    <row r="11" spans="1:11" ht="15.75" x14ac:dyDescent="0.4">
      <c r="A11" s="18"/>
      <c r="B11" s="18"/>
      <c r="C11" s="18"/>
      <c r="D11" s="18"/>
      <c r="E11" s="18"/>
      <c r="F11" s="18"/>
      <c r="G11" s="18"/>
      <c r="H11" s="18"/>
      <c r="I11" s="18"/>
      <c r="J11" s="18"/>
      <c r="K11" s="18"/>
    </row>
    <row r="12" spans="1:11" ht="15.75" x14ac:dyDescent="0.4">
      <c r="A12" s="15" t="s">
        <v>9</v>
      </c>
      <c r="B12" s="16"/>
      <c r="C12" s="16"/>
      <c r="D12" s="16"/>
      <c r="E12" s="16"/>
      <c r="F12" s="16"/>
      <c r="G12" s="16"/>
      <c r="H12" s="16"/>
      <c r="I12" s="16"/>
      <c r="J12" s="16"/>
      <c r="K12" s="16"/>
    </row>
    <row r="13" spans="1:11" ht="15.75" x14ac:dyDescent="0.4">
      <c r="A13" s="55" t="s">
        <v>10</v>
      </c>
      <c r="B13" s="56"/>
      <c r="C13" s="56"/>
      <c r="D13" s="56"/>
      <c r="E13" s="56"/>
      <c r="F13" s="56"/>
      <c r="G13" s="56"/>
      <c r="H13" s="56"/>
      <c r="I13" s="56"/>
      <c r="J13" s="56"/>
      <c r="K13" s="57"/>
    </row>
    <row r="14" spans="1:11" ht="15.75" x14ac:dyDescent="0.4">
      <c r="A14" s="18"/>
      <c r="B14" s="18"/>
      <c r="C14" s="18"/>
      <c r="D14" s="18"/>
      <c r="E14" s="18"/>
      <c r="F14" s="18"/>
      <c r="G14" s="18"/>
      <c r="H14" s="18"/>
      <c r="I14" s="18"/>
      <c r="J14" s="18"/>
      <c r="K14" s="18"/>
    </row>
    <row r="15" spans="1:11" ht="15.75" x14ac:dyDescent="0.4">
      <c r="A15" s="15" t="s">
        <v>11</v>
      </c>
      <c r="B15" s="16"/>
      <c r="C15" s="16"/>
      <c r="D15" s="16"/>
      <c r="E15" s="16"/>
      <c r="F15" s="16"/>
      <c r="G15" s="16"/>
      <c r="H15" s="16"/>
      <c r="I15" s="16"/>
      <c r="J15" s="16"/>
      <c r="K15" s="16"/>
    </row>
    <row r="16" spans="1:11" ht="15.75" x14ac:dyDescent="0.4">
      <c r="A16" s="55" t="s">
        <v>12</v>
      </c>
      <c r="B16" s="56"/>
      <c r="C16" s="56"/>
      <c r="D16" s="56"/>
      <c r="E16" s="56"/>
      <c r="F16" s="56"/>
      <c r="G16" s="56"/>
      <c r="H16" s="56"/>
      <c r="I16" s="56"/>
      <c r="J16" s="56"/>
      <c r="K16" s="57"/>
    </row>
    <row r="17" spans="1:11" ht="15.75" x14ac:dyDescent="0.4">
      <c r="A17" s="16"/>
      <c r="B17" s="16"/>
      <c r="C17" s="16"/>
      <c r="D17" s="16"/>
      <c r="E17" s="16"/>
      <c r="F17" s="16"/>
      <c r="G17" s="16"/>
      <c r="H17" s="16"/>
      <c r="I17" s="16"/>
      <c r="J17" s="16"/>
      <c r="K17" s="16"/>
    </row>
    <row r="18" spans="1:11" ht="15.75" x14ac:dyDescent="0.4">
      <c r="A18" s="15" t="s">
        <v>13</v>
      </c>
    </row>
    <row r="19" spans="1:11" ht="87.75" customHeight="1" x14ac:dyDescent="0.4">
      <c r="A19" s="41" t="s">
        <v>14</v>
      </c>
      <c r="B19" s="42"/>
      <c r="C19" s="42"/>
      <c r="D19" s="42"/>
      <c r="E19" s="42"/>
      <c r="F19" s="42"/>
      <c r="G19" s="42"/>
      <c r="H19" s="42"/>
      <c r="I19" s="42"/>
      <c r="J19" s="42"/>
      <c r="K19" s="43"/>
    </row>
    <row r="20" spans="1:11" ht="15.75" x14ac:dyDescent="0.4">
      <c r="A20" s="19"/>
      <c r="B20" s="19"/>
      <c r="C20" s="19"/>
      <c r="D20" s="19"/>
      <c r="E20" s="19"/>
      <c r="F20" s="19"/>
      <c r="G20" s="19"/>
      <c r="H20" s="19"/>
      <c r="I20" s="19"/>
      <c r="J20" s="19"/>
      <c r="K20" s="19"/>
    </row>
    <row r="21" spans="1:11" ht="15.75" x14ac:dyDescent="0.4">
      <c r="A21" s="15" t="s">
        <v>15</v>
      </c>
      <c r="B21" s="16"/>
      <c r="C21" s="16"/>
      <c r="D21" s="16"/>
      <c r="E21" s="16"/>
      <c r="F21" s="16"/>
      <c r="G21" s="16"/>
      <c r="H21" s="16"/>
      <c r="I21" s="16"/>
      <c r="J21" s="16"/>
      <c r="K21" s="16"/>
    </row>
    <row r="22" spans="1:11" ht="15.75" x14ac:dyDescent="0.4">
      <c r="A22" s="55" t="s">
        <v>16</v>
      </c>
      <c r="B22" s="56"/>
      <c r="C22" s="56"/>
      <c r="D22" s="56"/>
      <c r="E22" s="56"/>
      <c r="F22" s="56"/>
      <c r="G22" s="56"/>
      <c r="H22" s="56"/>
      <c r="I22" s="56"/>
      <c r="J22" s="56"/>
      <c r="K22" s="57"/>
    </row>
    <row r="23" spans="1:11" ht="15.75" x14ac:dyDescent="0.4">
      <c r="A23" s="18"/>
      <c r="B23" s="18"/>
      <c r="C23" s="18"/>
      <c r="D23" s="18"/>
      <c r="E23" s="18"/>
      <c r="F23" s="18"/>
      <c r="G23" s="18"/>
      <c r="H23" s="18"/>
      <c r="I23" s="18"/>
      <c r="J23" s="18"/>
      <c r="K23" s="18"/>
    </row>
    <row r="24" spans="1:11" ht="15.75" x14ac:dyDescent="0.4">
      <c r="A24" s="15" t="s">
        <v>17</v>
      </c>
      <c r="B24" s="16"/>
      <c r="C24" s="16"/>
      <c r="D24" s="16"/>
      <c r="E24" s="16"/>
      <c r="F24" s="16"/>
      <c r="G24" s="16"/>
      <c r="H24" s="16"/>
      <c r="I24" s="16"/>
      <c r="J24" s="16"/>
      <c r="K24" s="16"/>
    </row>
    <row r="25" spans="1:11" ht="15.75" x14ac:dyDescent="0.4">
      <c r="A25" s="55" t="s">
        <v>16</v>
      </c>
      <c r="B25" s="56"/>
      <c r="C25" s="56"/>
      <c r="D25" s="56"/>
      <c r="E25" s="56"/>
      <c r="F25" s="56"/>
      <c r="G25" s="56"/>
      <c r="H25" s="56"/>
      <c r="I25" s="56"/>
      <c r="J25" s="56"/>
      <c r="K25" s="57"/>
    </row>
    <row r="26" spans="1:11" ht="15.75" x14ac:dyDescent="0.4">
      <c r="A26" s="18"/>
      <c r="B26" s="18"/>
      <c r="C26" s="18"/>
      <c r="D26" s="18"/>
      <c r="E26" s="18"/>
      <c r="F26" s="18"/>
      <c r="G26" s="18"/>
      <c r="H26" s="18"/>
      <c r="I26" s="18"/>
      <c r="J26" s="18"/>
      <c r="K26" s="18"/>
    </row>
    <row r="27" spans="1:11" ht="15.75" x14ac:dyDescent="0.4">
      <c r="A27" s="15" t="s">
        <v>18</v>
      </c>
      <c r="B27" s="16"/>
      <c r="C27" s="16"/>
      <c r="D27" s="16"/>
      <c r="E27" s="16"/>
      <c r="F27" s="16"/>
      <c r="G27" s="16"/>
      <c r="H27" s="16"/>
      <c r="I27" s="16"/>
      <c r="J27" s="16"/>
      <c r="K27" s="16"/>
    </row>
    <row r="28" spans="1:11" ht="37.5" customHeight="1" x14ac:dyDescent="0.4">
      <c r="A28" s="58" t="s">
        <v>19</v>
      </c>
      <c r="B28" s="59"/>
      <c r="C28" s="59"/>
      <c r="D28" s="59"/>
      <c r="E28" s="59"/>
      <c r="F28" s="59"/>
      <c r="G28" s="59"/>
      <c r="H28" s="59"/>
      <c r="I28" s="59"/>
      <c r="J28" s="59"/>
      <c r="K28" s="60"/>
    </row>
    <row r="29" spans="1:11" ht="15.75" x14ac:dyDescent="0.4">
      <c r="A29" s="18"/>
      <c r="B29" s="18"/>
      <c r="C29" s="18"/>
      <c r="D29" s="18"/>
      <c r="E29" s="18"/>
      <c r="F29" s="18"/>
      <c r="G29" s="18"/>
      <c r="H29" s="18"/>
      <c r="I29" s="18"/>
      <c r="J29" s="18"/>
      <c r="K29" s="18"/>
    </row>
    <row r="30" spans="1:11" ht="15.75" x14ac:dyDescent="0.4">
      <c r="A30" s="15" t="s">
        <v>20</v>
      </c>
      <c r="B30" s="16"/>
      <c r="C30" s="16"/>
      <c r="D30" s="16"/>
      <c r="E30" s="16"/>
      <c r="F30" s="16"/>
      <c r="G30" s="16"/>
      <c r="H30" s="16"/>
      <c r="I30" s="16"/>
      <c r="J30" s="16"/>
      <c r="K30" s="16"/>
    </row>
    <row r="31" spans="1:11" ht="15.75" x14ac:dyDescent="0.4">
      <c r="A31" s="55" t="s">
        <v>21</v>
      </c>
      <c r="B31" s="56"/>
      <c r="C31" s="56"/>
      <c r="D31" s="56"/>
      <c r="E31" s="56"/>
      <c r="F31" s="56"/>
      <c r="G31" s="56"/>
      <c r="H31" s="56"/>
      <c r="I31" s="56"/>
      <c r="J31" s="56"/>
      <c r="K31" s="57"/>
    </row>
    <row r="32" spans="1:11" ht="15.75" x14ac:dyDescent="0.4">
      <c r="A32" s="19"/>
      <c r="B32" s="19"/>
      <c r="C32" s="19"/>
      <c r="D32" s="19"/>
      <c r="E32" s="19"/>
      <c r="F32" s="19"/>
      <c r="G32" s="19"/>
      <c r="H32" s="19"/>
      <c r="I32" s="19"/>
      <c r="J32" s="19"/>
      <c r="K32" s="19"/>
    </row>
    <row r="33" spans="1:12" ht="15.75" x14ac:dyDescent="0.45">
      <c r="A33" s="20" t="s">
        <v>22</v>
      </c>
      <c r="B33" s="21"/>
    </row>
    <row r="34" spans="1:12" ht="408" customHeight="1" x14ac:dyDescent="0.45">
      <c r="A34" s="44" t="s">
        <v>23</v>
      </c>
      <c r="B34" s="45"/>
      <c r="C34" s="45"/>
      <c r="D34" s="45"/>
      <c r="E34" s="45"/>
      <c r="F34" s="45"/>
      <c r="G34" s="45"/>
      <c r="H34" s="45"/>
      <c r="I34" s="45"/>
      <c r="J34" s="45"/>
      <c r="K34" s="46"/>
      <c r="L34" s="22"/>
    </row>
    <row r="35" spans="1:12" ht="409.5" customHeight="1" x14ac:dyDescent="0.4">
      <c r="A35" s="47"/>
      <c r="B35" s="48"/>
      <c r="C35" s="48"/>
      <c r="D35" s="48"/>
      <c r="E35" s="48"/>
      <c r="F35" s="48"/>
      <c r="G35" s="48"/>
      <c r="H35" s="48"/>
      <c r="I35" s="48"/>
      <c r="J35" s="48"/>
      <c r="K35" s="49"/>
    </row>
    <row r="36" spans="1:12" ht="144.75" customHeight="1" x14ac:dyDescent="0.4">
      <c r="A36" s="50"/>
      <c r="B36" s="51"/>
      <c r="C36" s="51"/>
      <c r="D36" s="51"/>
      <c r="E36" s="51"/>
      <c r="F36" s="51"/>
      <c r="G36" s="51"/>
      <c r="H36" s="51"/>
      <c r="I36" s="51"/>
      <c r="J36" s="51"/>
      <c r="K36" s="52"/>
    </row>
    <row r="37" spans="1:12" x14ac:dyDescent="0.4">
      <c r="A37" s="10" t="s">
        <v>24</v>
      </c>
    </row>
    <row r="38" spans="1:12" x14ac:dyDescent="0.4">
      <c r="A38" s="36" t="s">
        <v>25</v>
      </c>
    </row>
    <row r="39" spans="1:12" x14ac:dyDescent="0.4">
      <c r="A39" s="10" t="s">
        <v>26</v>
      </c>
    </row>
    <row r="40" spans="1:12" x14ac:dyDescent="0.4">
      <c r="A40" s="10" t="s">
        <v>27</v>
      </c>
    </row>
  </sheetData>
  <mergeCells count="11">
    <mergeCell ref="A19:K19"/>
    <mergeCell ref="A34:K36"/>
    <mergeCell ref="A1:K1"/>
    <mergeCell ref="A2:K2"/>
    <mergeCell ref="A4:K4"/>
    <mergeCell ref="A13:K13"/>
    <mergeCell ref="A16:K16"/>
    <mergeCell ref="A22:K22"/>
    <mergeCell ref="A25:K25"/>
    <mergeCell ref="A28:K28"/>
    <mergeCell ref="A31:K3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8"/>
  <sheetViews>
    <sheetView workbookViewId="0">
      <selection activeCell="S28" sqref="S28"/>
    </sheetView>
  </sheetViews>
  <sheetFormatPr defaultColWidth="11.42578125" defaultRowHeight="13.5" customHeight="1" x14ac:dyDescent="0.4"/>
  <cols>
    <col min="1" max="1" width="10.85546875" customWidth="1"/>
    <col min="6" max="6" width="12" customWidth="1"/>
    <col min="8" max="17" width="11.7109375" style="9" customWidth="1"/>
  </cols>
  <sheetData>
    <row r="1" spans="1:19" ht="52.5" x14ac:dyDescent="0.4">
      <c r="A1" s="2" t="s">
        <v>28</v>
      </c>
      <c r="B1" s="3" t="s">
        <v>29</v>
      </c>
      <c r="C1" s="3" t="s">
        <v>30</v>
      </c>
      <c r="D1" s="3" t="s">
        <v>31</v>
      </c>
      <c r="E1" s="3" t="s">
        <v>32</v>
      </c>
      <c r="F1" s="3" t="s">
        <v>33</v>
      </c>
      <c r="G1" s="3" t="s">
        <v>34</v>
      </c>
      <c r="H1" s="3" t="s">
        <v>35</v>
      </c>
      <c r="I1" s="3" t="s">
        <v>36</v>
      </c>
      <c r="J1" s="3" t="s">
        <v>37</v>
      </c>
      <c r="K1" s="3" t="s">
        <v>38</v>
      </c>
      <c r="L1" s="3" t="s">
        <v>39</v>
      </c>
      <c r="M1" s="3" t="s">
        <v>40</v>
      </c>
      <c r="N1" s="3" t="s">
        <v>41</v>
      </c>
      <c r="O1" s="3" t="s">
        <v>42</v>
      </c>
      <c r="P1" s="3" t="s">
        <v>43</v>
      </c>
      <c r="Q1" s="3" t="s">
        <v>44</v>
      </c>
    </row>
    <row r="2" spans="1:19" ht="13.15" x14ac:dyDescent="0.4">
      <c r="A2">
        <v>1992</v>
      </c>
      <c r="B2" s="4">
        <v>279098</v>
      </c>
      <c r="C2" s="4">
        <v>294218</v>
      </c>
      <c r="D2" s="26">
        <v>142723</v>
      </c>
      <c r="E2" s="26">
        <v>136375</v>
      </c>
      <c r="F2" s="40"/>
      <c r="G2" s="27">
        <v>104.7</v>
      </c>
      <c r="H2" s="26">
        <v>791</v>
      </c>
      <c r="I2" s="26">
        <v>37692</v>
      </c>
      <c r="J2" s="26">
        <v>76393</v>
      </c>
      <c r="K2" s="26">
        <v>78859</v>
      </c>
      <c r="L2" s="26">
        <v>54114</v>
      </c>
      <c r="M2" s="26">
        <v>25171</v>
      </c>
      <c r="N2" s="26">
        <v>5686</v>
      </c>
      <c r="O2" s="26">
        <v>344</v>
      </c>
      <c r="P2" s="26">
        <v>48</v>
      </c>
      <c r="Q2" s="26">
        <v>0</v>
      </c>
      <c r="R2" s="4"/>
      <c r="S2" s="4"/>
    </row>
    <row r="3" spans="1:19" ht="13.15" x14ac:dyDescent="0.4">
      <c r="A3">
        <v>1993</v>
      </c>
      <c r="B3" s="4">
        <v>275916</v>
      </c>
      <c r="C3" s="4">
        <v>289419</v>
      </c>
      <c r="D3" s="26">
        <v>141304</v>
      </c>
      <c r="E3" s="26">
        <v>134612</v>
      </c>
      <c r="F3" s="40"/>
      <c r="G3" s="27">
        <v>105</v>
      </c>
      <c r="H3" s="26">
        <v>863</v>
      </c>
      <c r="I3" s="26">
        <v>37563</v>
      </c>
      <c r="J3" s="26">
        <v>74775</v>
      </c>
      <c r="K3" s="26">
        <v>76104</v>
      </c>
      <c r="L3" s="26">
        <v>54699</v>
      </c>
      <c r="M3" s="26">
        <v>25491</v>
      </c>
      <c r="N3" s="26">
        <v>6019</v>
      </c>
      <c r="O3" s="26">
        <v>358</v>
      </c>
      <c r="P3" s="26">
        <v>44</v>
      </c>
      <c r="Q3" s="26">
        <v>0</v>
      </c>
    </row>
    <row r="4" spans="1:19" ht="13.15" x14ac:dyDescent="0.4">
      <c r="A4">
        <v>1994</v>
      </c>
      <c r="B4" s="4">
        <v>273766</v>
      </c>
      <c r="C4" s="4">
        <v>285228</v>
      </c>
      <c r="D4" s="26">
        <v>139746</v>
      </c>
      <c r="E4" s="26">
        <v>134020</v>
      </c>
      <c r="F4" s="40"/>
      <c r="G4" s="27">
        <v>104.3</v>
      </c>
      <c r="H4" s="26">
        <v>879</v>
      </c>
      <c r="I4" s="26">
        <v>37969</v>
      </c>
      <c r="J4" s="26">
        <v>74451</v>
      </c>
      <c r="K4" s="26">
        <v>73530</v>
      </c>
      <c r="L4" s="26">
        <v>54759</v>
      </c>
      <c r="M4" s="26">
        <v>25880</v>
      </c>
      <c r="N4" s="26">
        <v>5977</v>
      </c>
      <c r="O4" s="26">
        <v>319</v>
      </c>
      <c r="P4" s="26">
        <v>2</v>
      </c>
      <c r="Q4" s="26">
        <v>0</v>
      </c>
    </row>
    <row r="5" spans="1:19" ht="13.15" x14ac:dyDescent="0.4">
      <c r="A5">
        <v>1995</v>
      </c>
      <c r="B5" s="4">
        <v>265932</v>
      </c>
      <c r="C5" s="4">
        <v>275756</v>
      </c>
      <c r="D5" s="26">
        <v>135982</v>
      </c>
      <c r="E5" s="26">
        <v>129950</v>
      </c>
      <c r="F5" s="40"/>
      <c r="G5" s="27">
        <v>104.6</v>
      </c>
      <c r="H5" s="26">
        <v>1033</v>
      </c>
      <c r="I5" s="26">
        <v>37852</v>
      </c>
      <c r="J5" s="26">
        <v>71651</v>
      </c>
      <c r="K5" s="26">
        <v>69073</v>
      </c>
      <c r="L5" s="26">
        <v>53608</v>
      </c>
      <c r="M5" s="26">
        <v>26221</v>
      </c>
      <c r="N5" s="26">
        <v>6187</v>
      </c>
      <c r="O5" s="26">
        <v>302</v>
      </c>
      <c r="P5" s="26">
        <v>5</v>
      </c>
      <c r="Q5" s="26">
        <v>0</v>
      </c>
    </row>
    <row r="6" spans="1:19" ht="13.15" x14ac:dyDescent="0.4">
      <c r="A6">
        <v>1996</v>
      </c>
      <c r="B6" s="4">
        <v>264793</v>
      </c>
      <c r="C6" s="4">
        <v>272161</v>
      </c>
      <c r="D6" s="26">
        <v>135700</v>
      </c>
      <c r="E6" s="26">
        <v>129093</v>
      </c>
      <c r="F6" s="40"/>
      <c r="G6" s="27">
        <v>105.1</v>
      </c>
      <c r="H6" s="26">
        <v>1126</v>
      </c>
      <c r="I6" s="26">
        <v>38575</v>
      </c>
      <c r="J6" s="26">
        <v>69941</v>
      </c>
      <c r="K6" s="26">
        <v>67582</v>
      </c>
      <c r="L6" s="26">
        <v>53732</v>
      </c>
      <c r="M6" s="26">
        <v>27247</v>
      </c>
      <c r="N6" s="26">
        <v>6290</v>
      </c>
      <c r="O6" s="26">
        <v>292</v>
      </c>
      <c r="P6" s="26">
        <v>8</v>
      </c>
      <c r="Q6" s="26">
        <v>0</v>
      </c>
    </row>
    <row r="7" spans="1:19" ht="13.15" x14ac:dyDescent="0.4">
      <c r="A7">
        <v>1997</v>
      </c>
      <c r="B7" s="4">
        <v>259959</v>
      </c>
      <c r="C7" s="4">
        <v>265493</v>
      </c>
      <c r="D7" s="26">
        <v>133415</v>
      </c>
      <c r="E7" s="26">
        <v>126544</v>
      </c>
      <c r="F7" s="40"/>
      <c r="G7" s="27">
        <v>105.4</v>
      </c>
      <c r="H7" s="26">
        <v>1183</v>
      </c>
      <c r="I7" s="26">
        <v>39551</v>
      </c>
      <c r="J7" s="26">
        <v>66326</v>
      </c>
      <c r="K7" s="26">
        <v>65904</v>
      </c>
      <c r="L7" s="26">
        <v>52485</v>
      </c>
      <c r="M7" s="26">
        <v>27773</v>
      </c>
      <c r="N7" s="26">
        <v>6411</v>
      </c>
      <c r="O7" s="26">
        <v>318</v>
      </c>
      <c r="P7" s="26">
        <v>8</v>
      </c>
      <c r="Q7" s="26">
        <v>0</v>
      </c>
    </row>
    <row r="8" spans="1:19" ht="13.15" x14ac:dyDescent="0.4">
      <c r="A8">
        <v>1998</v>
      </c>
      <c r="B8" s="4">
        <v>257105</v>
      </c>
      <c r="C8" s="4">
        <v>261803</v>
      </c>
      <c r="D8" s="26">
        <v>131234</v>
      </c>
      <c r="E8" s="26">
        <v>125871</v>
      </c>
      <c r="F8" s="40"/>
      <c r="G8" s="27">
        <v>104.3</v>
      </c>
      <c r="H8" s="26">
        <v>1175</v>
      </c>
      <c r="I8" s="26">
        <v>40355</v>
      </c>
      <c r="J8" s="26">
        <v>63235</v>
      </c>
      <c r="K8" s="26">
        <v>65389</v>
      </c>
      <c r="L8" s="26">
        <v>51943</v>
      </c>
      <c r="M8" s="26">
        <v>28131</v>
      </c>
      <c r="N8" s="26">
        <v>6543</v>
      </c>
      <c r="O8" s="26">
        <v>331</v>
      </c>
      <c r="P8" s="26">
        <v>3</v>
      </c>
      <c r="Q8" s="26">
        <v>0</v>
      </c>
    </row>
    <row r="9" spans="1:19" ht="13.15" x14ac:dyDescent="0.4">
      <c r="A9">
        <v>1999</v>
      </c>
      <c r="B9" s="4">
        <v>250674</v>
      </c>
      <c r="C9" s="4">
        <v>254096</v>
      </c>
      <c r="D9" s="26">
        <v>128256</v>
      </c>
      <c r="E9" s="26">
        <v>122418</v>
      </c>
      <c r="F9" s="40"/>
      <c r="G9" s="27">
        <v>104.8</v>
      </c>
      <c r="H9" s="26">
        <v>1052</v>
      </c>
      <c r="I9" s="26">
        <v>39387</v>
      </c>
      <c r="J9" s="26">
        <v>59293</v>
      </c>
      <c r="K9" s="26">
        <v>64135</v>
      </c>
      <c r="L9" s="26">
        <v>51086</v>
      </c>
      <c r="M9" s="26">
        <v>28720</v>
      </c>
      <c r="N9" s="26">
        <v>6700</v>
      </c>
      <c r="O9" s="26">
        <v>298</v>
      </c>
      <c r="P9" s="26">
        <v>3</v>
      </c>
      <c r="Q9" s="26">
        <v>0</v>
      </c>
    </row>
    <row r="10" spans="1:19" ht="13.15" x14ac:dyDescent="0.4">
      <c r="A10">
        <v>2000</v>
      </c>
      <c r="B10" s="4">
        <v>248893</v>
      </c>
      <c r="C10" s="4">
        <v>252155</v>
      </c>
      <c r="D10" s="26">
        <v>127763</v>
      </c>
      <c r="E10" s="26">
        <v>121130</v>
      </c>
      <c r="F10" s="40"/>
      <c r="G10" s="27">
        <v>105.5</v>
      </c>
      <c r="H10" s="26">
        <v>1055</v>
      </c>
      <c r="I10" s="26">
        <v>39257</v>
      </c>
      <c r="J10" s="26">
        <v>57141</v>
      </c>
      <c r="K10" s="26">
        <v>63812</v>
      </c>
      <c r="L10" s="26">
        <v>50675</v>
      </c>
      <c r="M10" s="26">
        <v>29471</v>
      </c>
      <c r="N10" s="26">
        <v>7119</v>
      </c>
      <c r="O10" s="26">
        <v>359</v>
      </c>
      <c r="P10" s="26">
        <v>4</v>
      </c>
      <c r="Q10" s="26">
        <v>0</v>
      </c>
    </row>
    <row r="11" spans="1:19" ht="13.15" x14ac:dyDescent="0.4">
      <c r="A11">
        <v>2001</v>
      </c>
      <c r="B11" s="4">
        <v>246116</v>
      </c>
      <c r="C11" s="4">
        <v>248651</v>
      </c>
      <c r="D11" s="26">
        <v>125335</v>
      </c>
      <c r="E11" s="26">
        <v>120781</v>
      </c>
      <c r="F11" s="40"/>
      <c r="G11" s="27">
        <v>103.8</v>
      </c>
      <c r="H11" s="26">
        <v>1162</v>
      </c>
      <c r="I11" s="26">
        <v>38722</v>
      </c>
      <c r="J11" s="26">
        <v>55892</v>
      </c>
      <c r="K11" s="26">
        <v>61735</v>
      </c>
      <c r="L11" s="26">
        <v>50651</v>
      </c>
      <c r="M11" s="26">
        <v>30146</v>
      </c>
      <c r="N11" s="26">
        <v>7420</v>
      </c>
      <c r="O11" s="26">
        <v>371</v>
      </c>
      <c r="P11" s="26">
        <v>17</v>
      </c>
      <c r="Q11" s="26">
        <v>0</v>
      </c>
    </row>
    <row r="12" spans="1:19" ht="13.15" x14ac:dyDescent="0.4">
      <c r="A12">
        <v>2002</v>
      </c>
      <c r="B12" s="4">
        <v>238981</v>
      </c>
      <c r="C12" s="4">
        <v>241027</v>
      </c>
      <c r="D12" s="26">
        <v>121975</v>
      </c>
      <c r="E12" s="26">
        <v>117006</v>
      </c>
      <c r="F12" s="40"/>
      <c r="G12" s="27">
        <v>104.2</v>
      </c>
      <c r="H12" s="26">
        <v>1118</v>
      </c>
      <c r="I12" s="26">
        <v>36500</v>
      </c>
      <c r="J12" s="26">
        <v>55414</v>
      </c>
      <c r="K12" s="26">
        <v>58775</v>
      </c>
      <c r="L12" s="26">
        <v>49575</v>
      </c>
      <c r="M12" s="26">
        <v>29450</v>
      </c>
      <c r="N12" s="26">
        <v>7821</v>
      </c>
      <c r="O12" s="26">
        <v>326</v>
      </c>
      <c r="P12" s="26">
        <v>2</v>
      </c>
      <c r="Q12" s="26">
        <v>0</v>
      </c>
    </row>
    <row r="13" spans="1:19" ht="13.15" x14ac:dyDescent="0.4">
      <c r="A13">
        <v>2003</v>
      </c>
      <c r="B13" s="4">
        <v>234486</v>
      </c>
      <c r="C13" s="4">
        <v>236223</v>
      </c>
      <c r="D13" s="26">
        <v>119963</v>
      </c>
      <c r="E13" s="26">
        <v>114523</v>
      </c>
      <c r="F13" s="40"/>
      <c r="G13" s="27">
        <v>104.8</v>
      </c>
      <c r="H13" s="26">
        <v>994</v>
      </c>
      <c r="I13" s="26">
        <v>33838</v>
      </c>
      <c r="J13" s="26">
        <v>54536</v>
      </c>
      <c r="K13" s="26">
        <v>56443</v>
      </c>
      <c r="L13" s="26">
        <v>50557</v>
      </c>
      <c r="M13" s="26">
        <v>29662</v>
      </c>
      <c r="N13" s="26">
        <v>8087</v>
      </c>
      <c r="O13" s="26">
        <v>362</v>
      </c>
      <c r="P13" s="26">
        <v>7</v>
      </c>
      <c r="Q13" s="26">
        <v>0</v>
      </c>
    </row>
    <row r="14" spans="1:19" ht="13.15" x14ac:dyDescent="0.4">
      <c r="A14">
        <v>2004</v>
      </c>
      <c r="B14" s="4">
        <v>230352</v>
      </c>
      <c r="C14" s="4">
        <v>232588</v>
      </c>
      <c r="D14" s="26">
        <v>117434</v>
      </c>
      <c r="E14" s="26">
        <v>112918</v>
      </c>
      <c r="F14" s="40"/>
      <c r="G14" s="27">
        <v>104</v>
      </c>
      <c r="H14" s="26">
        <v>906</v>
      </c>
      <c r="I14" s="26">
        <v>33522</v>
      </c>
      <c r="J14" s="26">
        <v>53536</v>
      </c>
      <c r="K14" s="26">
        <v>54145</v>
      </c>
      <c r="L14" s="26">
        <v>50585</v>
      </c>
      <c r="M14" s="26">
        <v>29113</v>
      </c>
      <c r="N14" s="26">
        <v>8209</v>
      </c>
      <c r="O14" s="26">
        <v>334</v>
      </c>
      <c r="P14" s="26">
        <v>2</v>
      </c>
      <c r="Q14" s="26">
        <v>0</v>
      </c>
    </row>
    <row r="15" spans="1:19" ht="13.15" x14ac:dyDescent="0.4">
      <c r="A15">
        <v>2005</v>
      </c>
      <c r="B15" s="4">
        <v>230831</v>
      </c>
      <c r="C15" s="4">
        <v>232092</v>
      </c>
      <c r="D15" s="26">
        <v>118534</v>
      </c>
      <c r="E15" s="26">
        <v>112297</v>
      </c>
      <c r="F15" s="40"/>
      <c r="G15" s="27">
        <v>105.6</v>
      </c>
      <c r="H15" s="26">
        <v>935</v>
      </c>
      <c r="I15" s="26">
        <v>35143</v>
      </c>
      <c r="J15" s="26">
        <v>54032</v>
      </c>
      <c r="K15" s="26">
        <v>53401</v>
      </c>
      <c r="L15" s="26">
        <v>49906</v>
      </c>
      <c r="M15" s="26">
        <v>28810</v>
      </c>
      <c r="N15" s="26">
        <v>8234</v>
      </c>
      <c r="O15" s="26">
        <v>364</v>
      </c>
      <c r="P15" s="26">
        <v>6</v>
      </c>
      <c r="Q15" s="26">
        <v>0</v>
      </c>
    </row>
    <row r="16" spans="1:19" ht="13.15" x14ac:dyDescent="0.4">
      <c r="A16">
        <v>2006</v>
      </c>
      <c r="B16" s="4">
        <v>231383</v>
      </c>
      <c r="C16" s="4">
        <v>233104</v>
      </c>
      <c r="D16" s="26">
        <v>118203</v>
      </c>
      <c r="E16" s="26">
        <v>113180</v>
      </c>
      <c r="F16" s="40"/>
      <c r="G16" s="27">
        <v>104.4</v>
      </c>
      <c r="H16" s="26">
        <v>954</v>
      </c>
      <c r="I16" s="26">
        <v>36819</v>
      </c>
      <c r="J16" s="26">
        <v>54312</v>
      </c>
      <c r="K16" s="26">
        <v>52387</v>
      </c>
      <c r="L16" s="26">
        <v>49335</v>
      </c>
      <c r="M16" s="26">
        <v>28767</v>
      </c>
      <c r="N16" s="26">
        <v>8372</v>
      </c>
      <c r="O16" s="26">
        <v>430</v>
      </c>
      <c r="P16" s="26">
        <v>7</v>
      </c>
      <c r="Q16" s="26">
        <v>0</v>
      </c>
    </row>
    <row r="17" spans="1:17" ht="13.15" x14ac:dyDescent="0.4">
      <c r="A17">
        <v>2007</v>
      </c>
      <c r="B17" s="4">
        <v>240569</v>
      </c>
      <c r="C17" s="4">
        <v>242054</v>
      </c>
      <c r="D17" s="26">
        <v>122952</v>
      </c>
      <c r="E17" s="26">
        <v>117617</v>
      </c>
      <c r="F17" s="40"/>
      <c r="G17" s="27">
        <v>104.5</v>
      </c>
      <c r="H17" s="26">
        <v>955</v>
      </c>
      <c r="I17" s="26">
        <v>38650</v>
      </c>
      <c r="J17" s="26">
        <v>56174</v>
      </c>
      <c r="K17" s="26">
        <v>56429</v>
      </c>
      <c r="L17" s="26">
        <v>50151</v>
      </c>
      <c r="M17" s="26">
        <v>29438</v>
      </c>
      <c r="N17" s="26">
        <v>8324</v>
      </c>
      <c r="O17" s="26">
        <v>394</v>
      </c>
      <c r="P17" s="26">
        <v>9</v>
      </c>
      <c r="Q17" s="26">
        <v>45</v>
      </c>
    </row>
    <row r="18" spans="1:17" ht="13.15" x14ac:dyDescent="0.4">
      <c r="A18">
        <v>2008</v>
      </c>
      <c r="B18" s="4">
        <v>246581</v>
      </c>
      <c r="C18" s="4">
        <v>248366</v>
      </c>
      <c r="D18" s="26">
        <v>125858</v>
      </c>
      <c r="E18" s="26">
        <v>120723</v>
      </c>
      <c r="F18" s="40"/>
      <c r="G18" s="27">
        <v>104.3</v>
      </c>
      <c r="H18" s="26">
        <v>1025</v>
      </c>
      <c r="I18" s="26">
        <v>39902</v>
      </c>
      <c r="J18" s="26">
        <v>57915</v>
      </c>
      <c r="K18" s="26">
        <v>58338</v>
      </c>
      <c r="L18" s="26">
        <v>50391</v>
      </c>
      <c r="M18" s="26">
        <v>30234</v>
      </c>
      <c r="N18" s="26">
        <v>8307</v>
      </c>
      <c r="O18" s="26">
        <v>436</v>
      </c>
      <c r="P18" s="26">
        <v>0</v>
      </c>
      <c r="Q18" s="26">
        <v>33</v>
      </c>
    </row>
    <row r="19" spans="1:17" ht="13.15" x14ac:dyDescent="0.4">
      <c r="A19">
        <v>2009</v>
      </c>
      <c r="B19" s="4">
        <v>252240</v>
      </c>
      <c r="C19" s="4">
        <v>253574</v>
      </c>
      <c r="D19" s="26">
        <v>128659</v>
      </c>
      <c r="E19" s="26">
        <v>123581</v>
      </c>
      <c r="F19" s="40"/>
      <c r="G19" s="27">
        <v>104.1</v>
      </c>
      <c r="H19" s="26">
        <v>1073</v>
      </c>
      <c r="I19" s="26">
        <v>39629</v>
      </c>
      <c r="J19" s="26">
        <v>60361</v>
      </c>
      <c r="K19" s="26">
        <v>60759</v>
      </c>
      <c r="L19" s="26">
        <v>49955</v>
      </c>
      <c r="M19" s="26">
        <v>31375</v>
      </c>
      <c r="N19" s="26">
        <v>8581</v>
      </c>
      <c r="O19" s="26">
        <v>437</v>
      </c>
      <c r="P19" s="26">
        <v>7</v>
      </c>
      <c r="Q19" s="26">
        <v>63</v>
      </c>
    </row>
    <row r="20" spans="1:17" ht="13.15" x14ac:dyDescent="0.4">
      <c r="A20">
        <v>2010</v>
      </c>
      <c r="B20" s="4">
        <v>250643</v>
      </c>
      <c r="C20" s="4">
        <v>251199</v>
      </c>
      <c r="D20" s="26">
        <v>127682</v>
      </c>
      <c r="E20" s="26">
        <v>122961</v>
      </c>
      <c r="F20" s="40"/>
      <c r="G20" s="27">
        <v>103.8</v>
      </c>
      <c r="H20" s="26">
        <v>963</v>
      </c>
      <c r="I20" s="26">
        <v>38047</v>
      </c>
      <c r="J20" s="26">
        <v>59884</v>
      </c>
      <c r="K20" s="26">
        <v>59623</v>
      </c>
      <c r="L20" s="26">
        <v>50841</v>
      </c>
      <c r="M20" s="26">
        <v>32300</v>
      </c>
      <c r="N20" s="26">
        <v>8478</v>
      </c>
      <c r="O20" s="26">
        <v>449</v>
      </c>
      <c r="P20" s="26">
        <v>5</v>
      </c>
      <c r="Q20" s="26">
        <v>53</v>
      </c>
    </row>
    <row r="21" spans="1:17" ht="13.15" x14ac:dyDescent="0.4">
      <c r="A21">
        <v>2011</v>
      </c>
      <c r="B21" s="4">
        <v>247358</v>
      </c>
      <c r="C21" s="4">
        <v>248879</v>
      </c>
      <c r="D21" s="26">
        <v>126555</v>
      </c>
      <c r="E21" s="26">
        <v>120803</v>
      </c>
      <c r="F21" s="40"/>
      <c r="G21" s="27">
        <v>104.8</v>
      </c>
      <c r="H21" s="26">
        <v>955</v>
      </c>
      <c r="I21" s="26">
        <v>36258</v>
      </c>
      <c r="J21" s="26">
        <v>59378</v>
      </c>
      <c r="K21" s="26">
        <v>58848</v>
      </c>
      <c r="L21" s="26">
        <v>50671</v>
      </c>
      <c r="M21" s="26">
        <v>32082</v>
      </c>
      <c r="N21" s="26">
        <v>8653</v>
      </c>
      <c r="O21" s="26">
        <v>480</v>
      </c>
      <c r="P21" s="26">
        <v>6</v>
      </c>
      <c r="Q21" s="26">
        <v>27</v>
      </c>
    </row>
    <row r="22" spans="1:17" ht="13.15" x14ac:dyDescent="0.4">
      <c r="A22">
        <v>2012</v>
      </c>
      <c r="B22" s="4">
        <v>243635</v>
      </c>
      <c r="C22" s="4">
        <v>243858</v>
      </c>
      <c r="D22" s="26">
        <v>124083</v>
      </c>
      <c r="E22" s="26">
        <v>119552</v>
      </c>
      <c r="F22" s="40"/>
      <c r="G22" s="27">
        <v>103.8</v>
      </c>
      <c r="H22" s="26">
        <v>879</v>
      </c>
      <c r="I22" s="26">
        <v>34305</v>
      </c>
      <c r="J22" s="26">
        <v>58146</v>
      </c>
      <c r="K22" s="26">
        <v>57491</v>
      </c>
      <c r="L22" s="26">
        <v>52386</v>
      </c>
      <c r="M22" s="26">
        <v>31475</v>
      </c>
      <c r="N22" s="26">
        <v>8449</v>
      </c>
      <c r="O22" s="26">
        <v>466</v>
      </c>
      <c r="P22" s="26">
        <v>8</v>
      </c>
      <c r="Q22" s="26">
        <v>30</v>
      </c>
    </row>
    <row r="23" spans="1:17" ht="13.15" x14ac:dyDescent="0.4">
      <c r="A23">
        <v>2013</v>
      </c>
      <c r="B23" s="4">
        <v>242005</v>
      </c>
      <c r="C23" s="4">
        <v>242862</v>
      </c>
      <c r="D23" s="26">
        <v>123402</v>
      </c>
      <c r="E23" s="26">
        <v>118585</v>
      </c>
      <c r="F23" s="40">
        <v>18</v>
      </c>
      <c r="G23" s="27">
        <v>104.1</v>
      </c>
      <c r="H23" s="26">
        <v>902</v>
      </c>
      <c r="I23" s="26">
        <v>31506</v>
      </c>
      <c r="J23" s="26">
        <v>56898</v>
      </c>
      <c r="K23" s="26">
        <v>58140</v>
      </c>
      <c r="L23" s="26">
        <v>53625</v>
      </c>
      <c r="M23" s="26">
        <v>31614</v>
      </c>
      <c r="N23" s="26">
        <v>8814</v>
      </c>
      <c r="O23" s="26">
        <v>448</v>
      </c>
      <c r="P23" s="26">
        <v>12</v>
      </c>
      <c r="Q23" s="26">
        <v>46</v>
      </c>
    </row>
    <row r="24" spans="1:17" ht="13.15" x14ac:dyDescent="0.4">
      <c r="A24">
        <v>2014</v>
      </c>
      <c r="B24" s="4">
        <v>250997</v>
      </c>
      <c r="C24" s="4">
        <v>252194</v>
      </c>
      <c r="D24" s="26">
        <v>128177</v>
      </c>
      <c r="E24" s="26">
        <v>122802</v>
      </c>
      <c r="F24" s="40">
        <v>18</v>
      </c>
      <c r="G24" s="27">
        <v>104.4</v>
      </c>
      <c r="H24" s="26">
        <v>852</v>
      </c>
      <c r="I24" s="26">
        <v>29454</v>
      </c>
      <c r="J24" s="26">
        <v>57612</v>
      </c>
      <c r="K24" s="26">
        <v>62810</v>
      </c>
      <c r="L24" s="26">
        <v>57520</v>
      </c>
      <c r="M24" s="26">
        <v>32888</v>
      </c>
      <c r="N24" s="26">
        <v>9302</v>
      </c>
      <c r="O24" s="26">
        <v>487</v>
      </c>
      <c r="P24" s="26">
        <v>15</v>
      </c>
      <c r="Q24" s="26">
        <v>57</v>
      </c>
    </row>
    <row r="25" spans="1:17" ht="13.15" x14ac:dyDescent="0.4">
      <c r="A25">
        <v>2015</v>
      </c>
      <c r="B25" s="4">
        <v>244670</v>
      </c>
      <c r="C25" s="4">
        <v>245406</v>
      </c>
      <c r="D25" s="26">
        <v>124713</v>
      </c>
      <c r="E25" s="26">
        <v>119936</v>
      </c>
      <c r="F25" s="40">
        <v>21</v>
      </c>
      <c r="G25" s="27">
        <v>104</v>
      </c>
      <c r="H25" s="26">
        <v>717</v>
      </c>
      <c r="I25" s="26">
        <v>25448</v>
      </c>
      <c r="J25" s="26">
        <v>54261</v>
      </c>
      <c r="K25" s="26">
        <v>63210</v>
      </c>
      <c r="L25" s="26">
        <v>57373</v>
      </c>
      <c r="M25" s="26">
        <v>33596</v>
      </c>
      <c r="N25" s="26">
        <v>9545</v>
      </c>
      <c r="O25" s="26">
        <v>491</v>
      </c>
      <c r="P25" s="26">
        <v>13</v>
      </c>
      <c r="Q25" s="26">
        <v>16</v>
      </c>
    </row>
    <row r="26" spans="1:17" ht="13.15" x14ac:dyDescent="0.4">
      <c r="A26">
        <v>2016</v>
      </c>
      <c r="B26" s="4">
        <v>231749</v>
      </c>
      <c r="C26" s="4">
        <v>232616</v>
      </c>
      <c r="D26" s="26">
        <v>117801</v>
      </c>
      <c r="E26" s="26">
        <v>113920</v>
      </c>
      <c r="F26" s="40">
        <v>28</v>
      </c>
      <c r="G26" s="27">
        <v>103.4</v>
      </c>
      <c r="H26" s="26">
        <v>649</v>
      </c>
      <c r="I26" s="26">
        <v>20521</v>
      </c>
      <c r="J26" s="26">
        <v>48888</v>
      </c>
      <c r="K26" s="26">
        <v>61734</v>
      </c>
      <c r="L26" s="26">
        <v>56325</v>
      </c>
      <c r="M26" s="26">
        <v>33565</v>
      </c>
      <c r="N26" s="26">
        <v>9497</v>
      </c>
      <c r="O26" s="26">
        <v>499</v>
      </c>
      <c r="P26" s="26">
        <v>14</v>
      </c>
      <c r="Q26" s="26">
        <v>57</v>
      </c>
    </row>
    <row r="27" spans="1:17" ht="13.15" x14ac:dyDescent="0.4">
      <c r="A27">
        <v>2017</v>
      </c>
      <c r="B27" s="4">
        <v>219186</v>
      </c>
      <c r="C27" s="4">
        <v>219494</v>
      </c>
      <c r="D27" s="26">
        <v>111660</v>
      </c>
      <c r="E27" s="26">
        <v>107501</v>
      </c>
      <c r="F27" s="40">
        <v>25</v>
      </c>
      <c r="G27" s="27">
        <v>103.9</v>
      </c>
      <c r="H27" s="26">
        <v>472</v>
      </c>
      <c r="I27" s="26">
        <v>16897</v>
      </c>
      <c r="J27" s="26">
        <v>45057</v>
      </c>
      <c r="K27" s="26">
        <v>59455</v>
      </c>
      <c r="L27" s="26">
        <v>53929</v>
      </c>
      <c r="M27" s="26">
        <v>33523</v>
      </c>
      <c r="N27" s="26">
        <v>9095</v>
      </c>
      <c r="O27" s="26">
        <v>537</v>
      </c>
      <c r="P27" s="26">
        <v>19</v>
      </c>
      <c r="Q27" s="26">
        <v>202</v>
      </c>
    </row>
    <row r="28" spans="1:17" ht="13.15" x14ac:dyDescent="0.4">
      <c r="A28">
        <v>2018</v>
      </c>
      <c r="B28" s="4">
        <v>221731</v>
      </c>
      <c r="C28" s="4">
        <v>222088</v>
      </c>
      <c r="D28" s="26">
        <v>113039</v>
      </c>
      <c r="E28" s="26">
        <v>108668</v>
      </c>
      <c r="F28" s="40">
        <v>24</v>
      </c>
      <c r="G28" s="27">
        <v>104</v>
      </c>
      <c r="H28" s="26">
        <v>389</v>
      </c>
      <c r="I28" s="26">
        <v>14252</v>
      </c>
      <c r="J28" s="26">
        <v>44659</v>
      </c>
      <c r="K28" s="26">
        <v>61397</v>
      </c>
      <c r="L28" s="26">
        <v>56396</v>
      </c>
      <c r="M28" s="26">
        <v>34942</v>
      </c>
      <c r="N28" s="26">
        <v>8940</v>
      </c>
      <c r="O28" s="26">
        <v>520</v>
      </c>
      <c r="P28" s="26">
        <v>25</v>
      </c>
      <c r="Q28" s="26">
        <v>211</v>
      </c>
    </row>
    <row r="29" spans="1:17" ht="13.15" x14ac:dyDescent="0.4">
      <c r="A29">
        <v>2019</v>
      </c>
      <c r="B29" s="4">
        <v>210188</v>
      </c>
      <c r="C29" s="4">
        <v>210413</v>
      </c>
      <c r="D29" s="26">
        <v>107353</v>
      </c>
      <c r="E29" s="26">
        <v>102812</v>
      </c>
      <c r="F29" s="40">
        <v>23</v>
      </c>
      <c r="G29" s="27">
        <v>104.4</v>
      </c>
      <c r="H29" s="26">
        <v>285</v>
      </c>
      <c r="I29" s="26">
        <v>11692</v>
      </c>
      <c r="J29" s="26">
        <v>40194</v>
      </c>
      <c r="K29" s="26">
        <v>58301</v>
      </c>
      <c r="L29" s="26">
        <v>56105</v>
      </c>
      <c r="M29" s="26">
        <v>34100</v>
      </c>
      <c r="N29" s="26">
        <v>8837</v>
      </c>
      <c r="O29" s="26">
        <v>520</v>
      </c>
      <c r="P29" s="26">
        <v>20</v>
      </c>
      <c r="Q29" s="26">
        <v>134</v>
      </c>
    </row>
    <row r="30" spans="1:17" ht="13.15" x14ac:dyDescent="0.4">
      <c r="A30">
        <v>2020</v>
      </c>
      <c r="B30" s="4">
        <v>194978</v>
      </c>
      <c r="C30" s="4">
        <v>195229</v>
      </c>
      <c r="D30" s="26">
        <v>99923</v>
      </c>
      <c r="E30" s="26">
        <v>95036</v>
      </c>
      <c r="F30" s="40">
        <v>19</v>
      </c>
      <c r="G30" s="27">
        <v>105.1</v>
      </c>
      <c r="H30" s="26">
        <v>225</v>
      </c>
      <c r="I30" s="26">
        <v>9535</v>
      </c>
      <c r="J30" s="26">
        <v>35742</v>
      </c>
      <c r="K30" s="26">
        <v>53546</v>
      </c>
      <c r="L30" s="26">
        <v>54194</v>
      </c>
      <c r="M30" s="26">
        <v>32579</v>
      </c>
      <c r="N30" s="26">
        <v>8446</v>
      </c>
      <c r="O30" s="26">
        <v>522</v>
      </c>
      <c r="P30" s="26">
        <v>18</v>
      </c>
      <c r="Q30" s="26">
        <v>171</v>
      </c>
    </row>
    <row r="31" spans="1:17" ht="13.15" x14ac:dyDescent="0.4">
      <c r="A31">
        <v>2021</v>
      </c>
      <c r="B31" s="4">
        <v>177273</v>
      </c>
      <c r="C31" s="4">
        <v>177467</v>
      </c>
      <c r="D31" s="26">
        <v>90361</v>
      </c>
      <c r="E31" s="26">
        <v>86895</v>
      </c>
      <c r="F31" s="40">
        <v>17</v>
      </c>
      <c r="G31" s="27">
        <v>104</v>
      </c>
      <c r="H31" s="26">
        <v>161</v>
      </c>
      <c r="I31" s="26">
        <v>7097</v>
      </c>
      <c r="J31" s="26">
        <v>30379</v>
      </c>
      <c r="K31" s="26">
        <v>47790</v>
      </c>
      <c r="L31" s="26">
        <v>52051</v>
      </c>
      <c r="M31" s="26">
        <v>30941</v>
      </c>
      <c r="N31" s="26">
        <v>8219</v>
      </c>
      <c r="O31" s="26">
        <v>439</v>
      </c>
      <c r="P31" s="26">
        <v>18</v>
      </c>
      <c r="Q31" s="26">
        <v>178</v>
      </c>
    </row>
    <row r="32" spans="1:17" ht="13.15" x14ac:dyDescent="0.4">
      <c r="A32">
        <v>2022</v>
      </c>
      <c r="B32" s="4">
        <v>189303</v>
      </c>
      <c r="C32" s="4">
        <v>189503</v>
      </c>
      <c r="D32" s="26">
        <v>96010</v>
      </c>
      <c r="E32" s="26">
        <v>93278</v>
      </c>
      <c r="F32" s="40">
        <v>15</v>
      </c>
      <c r="G32" s="27">
        <v>102.9</v>
      </c>
      <c r="H32" s="26">
        <v>193</v>
      </c>
      <c r="I32" s="26">
        <v>7162</v>
      </c>
      <c r="J32" s="26">
        <v>31672</v>
      </c>
      <c r="K32" s="26">
        <v>50641</v>
      </c>
      <c r="L32" s="26">
        <v>56010</v>
      </c>
      <c r="M32" s="26">
        <v>33720</v>
      </c>
      <c r="N32" s="26">
        <v>9030</v>
      </c>
      <c r="O32" s="26">
        <v>560</v>
      </c>
      <c r="P32" s="26">
        <v>32</v>
      </c>
      <c r="Q32" s="26">
        <v>283</v>
      </c>
    </row>
    <row r="33" spans="1:17" ht="14.65" x14ac:dyDescent="0.4">
      <c r="A33" s="9" t="s">
        <v>45</v>
      </c>
      <c r="B33" s="4">
        <v>174067</v>
      </c>
      <c r="C33" s="4"/>
      <c r="D33" s="4">
        <v>88798</v>
      </c>
      <c r="E33" s="4">
        <v>85251</v>
      </c>
      <c r="F33" s="29">
        <v>18</v>
      </c>
      <c r="G33" s="1">
        <v>104.2</v>
      </c>
      <c r="H33" s="26">
        <v>168</v>
      </c>
      <c r="I33" s="26">
        <v>6510</v>
      </c>
      <c r="J33" s="26">
        <v>28745</v>
      </c>
      <c r="K33" s="26">
        <v>45739</v>
      </c>
      <c r="L33" s="26">
        <v>51083</v>
      </c>
      <c r="M33" s="26">
        <v>32023</v>
      </c>
      <c r="N33" s="26">
        <v>8873</v>
      </c>
      <c r="O33" s="26">
        <v>612</v>
      </c>
      <c r="P33" s="26">
        <v>32</v>
      </c>
      <c r="Q33" s="26">
        <v>282</v>
      </c>
    </row>
    <row r="34" spans="1:17" ht="14.65" x14ac:dyDescent="0.4">
      <c r="A34" s="39" t="s">
        <v>46</v>
      </c>
      <c r="B34" s="4">
        <v>154441</v>
      </c>
      <c r="C34" s="4"/>
      <c r="D34" s="4">
        <v>78306</v>
      </c>
      <c r="E34" s="4">
        <v>76127</v>
      </c>
      <c r="F34" s="29">
        <v>8</v>
      </c>
      <c r="G34" s="1">
        <v>102.9</v>
      </c>
      <c r="H34" s="26">
        <v>181</v>
      </c>
      <c r="I34" s="26">
        <v>5504</v>
      </c>
      <c r="J34" s="26">
        <v>24682</v>
      </c>
      <c r="K34" s="26">
        <v>39826</v>
      </c>
      <c r="L34" s="26">
        <v>45674</v>
      </c>
      <c r="M34" s="26">
        <v>29806</v>
      </c>
      <c r="N34" s="26">
        <v>7960</v>
      </c>
      <c r="O34" s="26">
        <v>516</v>
      </c>
      <c r="P34" s="26">
        <v>32</v>
      </c>
      <c r="Q34" s="26">
        <v>260</v>
      </c>
    </row>
    <row r="35" spans="1:17" ht="13.15" x14ac:dyDescent="0.4">
      <c r="A35" s="39"/>
      <c r="B35" s="4"/>
      <c r="C35" s="4"/>
      <c r="D35" s="4"/>
      <c r="E35" s="4"/>
      <c r="G35" s="1"/>
      <c r="H35" s="28"/>
      <c r="I35" s="26"/>
      <c r="J35" s="26"/>
      <c r="K35" s="26"/>
      <c r="L35" s="26"/>
      <c r="M35" s="26"/>
      <c r="N35" s="26"/>
      <c r="O35" s="7"/>
      <c r="P35" s="7"/>
      <c r="Q35" s="7"/>
    </row>
    <row r="36" spans="1:17" ht="13.15" x14ac:dyDescent="0.4">
      <c r="A36" s="25" t="s">
        <v>47</v>
      </c>
      <c r="B36" s="4"/>
      <c r="C36" s="4"/>
      <c r="E36" s="4"/>
      <c r="F36" s="4"/>
      <c r="G36" s="1"/>
    </row>
    <row r="37" spans="1:17" ht="13.15" x14ac:dyDescent="0.4">
      <c r="A37" t="s">
        <v>48</v>
      </c>
    </row>
    <row r="38" spans="1:17" ht="13.15" x14ac:dyDescent="0.4">
      <c r="A38" t="s">
        <v>49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56"/>
  <sheetViews>
    <sheetView topLeftCell="Q1" workbookViewId="0">
      <selection activeCell="G9" sqref="G9"/>
    </sheetView>
  </sheetViews>
  <sheetFormatPr defaultColWidth="11.42578125" defaultRowHeight="13.15" x14ac:dyDescent="0.4"/>
  <cols>
    <col min="1" max="1" width="6.5703125" customWidth="1"/>
    <col min="6" max="6" width="11.28515625" customWidth="1"/>
  </cols>
  <sheetData>
    <row r="1" spans="1:32" ht="54.75" customHeight="1" x14ac:dyDescent="0.4">
      <c r="A1" s="8" t="s">
        <v>28</v>
      </c>
      <c r="B1" s="3" t="s">
        <v>150</v>
      </c>
      <c r="C1" s="3" t="s">
        <v>50</v>
      </c>
      <c r="D1" s="3" t="s">
        <v>51</v>
      </c>
      <c r="E1" s="3" t="s">
        <v>52</v>
      </c>
      <c r="F1" s="3" t="s">
        <v>53</v>
      </c>
      <c r="G1" s="3" t="s">
        <v>54</v>
      </c>
      <c r="H1" s="3" t="s">
        <v>55</v>
      </c>
      <c r="I1" s="3" t="s">
        <v>56</v>
      </c>
      <c r="J1" s="3" t="s">
        <v>57</v>
      </c>
      <c r="K1" s="3" t="s">
        <v>58</v>
      </c>
      <c r="L1" s="3" t="s">
        <v>59</v>
      </c>
      <c r="M1" s="3" t="s">
        <v>60</v>
      </c>
      <c r="N1" s="3" t="s">
        <v>61</v>
      </c>
      <c r="O1" s="3" t="s">
        <v>62</v>
      </c>
      <c r="P1" s="3" t="s">
        <v>63</v>
      </c>
      <c r="Q1" s="3" t="s">
        <v>64</v>
      </c>
      <c r="R1" s="3" t="s">
        <v>65</v>
      </c>
      <c r="S1" s="3" t="s">
        <v>66</v>
      </c>
      <c r="T1" s="3" t="s">
        <v>67</v>
      </c>
      <c r="U1" s="3" t="s">
        <v>68</v>
      </c>
      <c r="V1" s="3" t="s">
        <v>69</v>
      </c>
      <c r="W1" s="3" t="s">
        <v>70</v>
      </c>
      <c r="X1" s="3" t="s">
        <v>71</v>
      </c>
      <c r="Y1" s="3" t="s">
        <v>72</v>
      </c>
      <c r="Z1" s="3" t="s">
        <v>73</v>
      </c>
      <c r="AA1" s="3" t="s">
        <v>74</v>
      </c>
      <c r="AB1" s="3" t="s">
        <v>75</v>
      </c>
      <c r="AC1" s="3" t="s">
        <v>76</v>
      </c>
      <c r="AD1" s="3" t="s">
        <v>77</v>
      </c>
      <c r="AE1" s="3" t="s">
        <v>78</v>
      </c>
      <c r="AF1" s="3" t="s">
        <v>79</v>
      </c>
    </row>
    <row r="2" spans="1:32" x14ac:dyDescent="0.4">
      <c r="A2">
        <v>1992</v>
      </c>
      <c r="B2" s="4">
        <v>13737062</v>
      </c>
      <c r="C2" s="4">
        <v>294218</v>
      </c>
      <c r="D2" s="1"/>
      <c r="E2" s="4">
        <v>3681883</v>
      </c>
      <c r="F2" s="1">
        <v>79.909654923852827</v>
      </c>
      <c r="G2" s="4">
        <v>40568</v>
      </c>
      <c r="H2" s="4">
        <v>627853</v>
      </c>
      <c r="I2" s="4">
        <v>80532</v>
      </c>
      <c r="J2" s="4">
        <v>607700</v>
      </c>
      <c r="K2" s="4">
        <v>83130</v>
      </c>
      <c r="L2" s="4">
        <v>613759</v>
      </c>
      <c r="M2" s="4">
        <v>57046</v>
      </c>
      <c r="N2" s="4">
        <v>565948</v>
      </c>
      <c r="O2" s="4">
        <v>26535</v>
      </c>
      <c r="P2" s="4">
        <v>509147</v>
      </c>
      <c r="Q2" s="4">
        <v>5994</v>
      </c>
      <c r="R2" s="4">
        <v>417676</v>
      </c>
      <c r="S2">
        <v>413</v>
      </c>
      <c r="T2" s="4">
        <v>339800</v>
      </c>
      <c r="U2" s="1">
        <v>64.613850694350418</v>
      </c>
      <c r="V2" s="1">
        <v>132.51933519828862</v>
      </c>
      <c r="W2" s="1">
        <v>135.44404236842146</v>
      </c>
      <c r="X2" s="1">
        <v>100.79724639012771</v>
      </c>
      <c r="Y2" s="1">
        <v>52.116579298316594</v>
      </c>
      <c r="Z2" s="1">
        <v>14.350836533581052</v>
      </c>
      <c r="AA2" s="1">
        <v>1.2154208357857563</v>
      </c>
      <c r="AB2" s="5">
        <v>2.5052865565943581</v>
      </c>
      <c r="AC2" s="5">
        <v>1.22</v>
      </c>
      <c r="AD2" s="1">
        <v>27.4</v>
      </c>
      <c r="AE2" s="1">
        <v>27</v>
      </c>
      <c r="AF2" s="1">
        <v>26.5</v>
      </c>
    </row>
    <row r="3" spans="1:32" x14ac:dyDescent="0.4">
      <c r="A3">
        <v>1993</v>
      </c>
      <c r="B3" s="4">
        <v>13956766</v>
      </c>
      <c r="C3" s="4">
        <v>289419</v>
      </c>
      <c r="D3" s="1">
        <v>20.736823989167689</v>
      </c>
      <c r="E3" s="4">
        <v>3740549</v>
      </c>
      <c r="F3" s="1">
        <v>77.373401604951567</v>
      </c>
      <c r="G3" s="4">
        <v>40307</v>
      </c>
      <c r="H3" s="4">
        <v>630054</v>
      </c>
      <c r="I3" s="4">
        <v>78434</v>
      </c>
      <c r="J3" s="4">
        <v>606308</v>
      </c>
      <c r="K3" s="4">
        <v>79828</v>
      </c>
      <c r="L3" s="4">
        <v>616920</v>
      </c>
      <c r="M3" s="4">
        <v>57376</v>
      </c>
      <c r="N3" s="4">
        <v>577117</v>
      </c>
      <c r="O3" s="4">
        <v>26738</v>
      </c>
      <c r="P3" s="4">
        <v>521042</v>
      </c>
      <c r="Q3" s="4">
        <v>6314</v>
      </c>
      <c r="R3" s="4">
        <v>437440</v>
      </c>
      <c r="S3">
        <v>422</v>
      </c>
      <c r="T3" s="4">
        <v>351668</v>
      </c>
      <c r="U3" s="1">
        <v>63.973881603799036</v>
      </c>
      <c r="V3" s="1">
        <v>129.36329390342863</v>
      </c>
      <c r="W3" s="1">
        <v>129.39765285612398</v>
      </c>
      <c r="X3" s="1">
        <v>99.41831552354202</v>
      </c>
      <c r="Y3" s="1">
        <v>51.316400597264717</v>
      </c>
      <c r="Z3" s="1">
        <v>14.433979517190929</v>
      </c>
      <c r="AA3" s="1">
        <v>1.1999954502542172</v>
      </c>
      <c r="AB3" s="5">
        <v>2.4455175972580174</v>
      </c>
      <c r="AC3" s="5">
        <v>1.19</v>
      </c>
      <c r="AD3" s="1">
        <v>27.4</v>
      </c>
      <c r="AE3" s="1">
        <v>27</v>
      </c>
      <c r="AF3" s="1">
        <v>26.6</v>
      </c>
    </row>
    <row r="4" spans="1:32" x14ac:dyDescent="0.4">
      <c r="A4">
        <v>1994</v>
      </c>
      <c r="B4" s="4">
        <v>14171821</v>
      </c>
      <c r="C4" s="4">
        <v>285228</v>
      </c>
      <c r="D4" s="1">
        <v>20.12641847508517</v>
      </c>
      <c r="E4" s="4">
        <v>3797129</v>
      </c>
      <c r="F4" s="1">
        <v>75.116752683408961</v>
      </c>
      <c r="G4" s="4">
        <v>40474</v>
      </c>
      <c r="H4" s="4">
        <v>629340</v>
      </c>
      <c r="I4" s="4">
        <v>77568</v>
      </c>
      <c r="J4" s="4">
        <v>608661</v>
      </c>
      <c r="K4" s="4">
        <v>76609</v>
      </c>
      <c r="L4" s="4">
        <v>617146</v>
      </c>
      <c r="M4" s="4">
        <v>57052</v>
      </c>
      <c r="N4" s="4">
        <v>588184</v>
      </c>
      <c r="O4" s="4">
        <v>26964</v>
      </c>
      <c r="P4" s="4">
        <v>532115</v>
      </c>
      <c r="Q4" s="4">
        <v>6227</v>
      </c>
      <c r="R4" s="4">
        <v>458567</v>
      </c>
      <c r="S4">
        <v>334</v>
      </c>
      <c r="T4" s="4">
        <v>363116</v>
      </c>
      <c r="U4" s="1">
        <v>64.311818730733791</v>
      </c>
      <c r="V4" s="1">
        <v>127.44039785693515</v>
      </c>
      <c r="W4" s="1">
        <v>124.13432153817736</v>
      </c>
      <c r="X4" s="1">
        <v>96.996858126028599</v>
      </c>
      <c r="Y4" s="1">
        <v>50.673256720821627</v>
      </c>
      <c r="Z4" s="1">
        <v>13.579258865116767</v>
      </c>
      <c r="AA4" s="1">
        <v>0.91981625706385839</v>
      </c>
      <c r="AB4" s="5">
        <v>2.3902786404743854</v>
      </c>
      <c r="AC4" s="5">
        <v>1.17</v>
      </c>
      <c r="AD4" s="1">
        <v>27.4</v>
      </c>
      <c r="AE4" s="1">
        <v>27</v>
      </c>
      <c r="AF4" s="1">
        <v>26.6</v>
      </c>
    </row>
    <row r="5" spans="1:32" x14ac:dyDescent="0.4">
      <c r="A5">
        <v>1995</v>
      </c>
      <c r="B5" s="4">
        <v>14381249</v>
      </c>
      <c r="C5" s="4">
        <v>275756</v>
      </c>
      <c r="D5" s="1">
        <v>19.174690598848542</v>
      </c>
      <c r="E5" s="4">
        <v>3852189</v>
      </c>
      <c r="F5" s="1">
        <v>71.584234314567638</v>
      </c>
      <c r="G5" s="4">
        <v>40321</v>
      </c>
      <c r="H5" s="4">
        <v>627374</v>
      </c>
      <c r="I5" s="4">
        <v>74298</v>
      </c>
      <c r="J5" s="4">
        <v>614618</v>
      </c>
      <c r="K5" s="4">
        <v>71625</v>
      </c>
      <c r="L5" s="4">
        <v>614607</v>
      </c>
      <c r="M5" s="4">
        <v>55588</v>
      </c>
      <c r="N5" s="4">
        <v>598341</v>
      </c>
      <c r="O5" s="4">
        <v>27190</v>
      </c>
      <c r="P5" s="4">
        <v>542661</v>
      </c>
      <c r="Q5" s="4">
        <v>6416</v>
      </c>
      <c r="R5" s="4">
        <v>478134</v>
      </c>
      <c r="S5">
        <v>318</v>
      </c>
      <c r="T5" s="4">
        <v>376454</v>
      </c>
      <c r="U5" s="1">
        <v>64.269478811681708</v>
      </c>
      <c r="V5" s="1">
        <v>120.88484229228561</v>
      </c>
      <c r="W5" s="1">
        <v>116.53788518516711</v>
      </c>
      <c r="X5" s="1">
        <v>92.90354496850459</v>
      </c>
      <c r="Y5" s="1">
        <v>50.104945813316235</v>
      </c>
      <c r="Z5" s="1">
        <v>13.418832377534331</v>
      </c>
      <c r="AA5" s="1">
        <v>0.84472472068300508</v>
      </c>
      <c r="AB5" s="5">
        <v>2.2948212708458633</v>
      </c>
      <c r="AC5" s="5">
        <v>1.1200000000000001</v>
      </c>
      <c r="AD5" s="1">
        <v>27.4</v>
      </c>
      <c r="AE5" s="1">
        <v>27.1</v>
      </c>
      <c r="AF5" s="1">
        <v>26.6</v>
      </c>
    </row>
    <row r="6" spans="1:32" x14ac:dyDescent="0.4">
      <c r="A6">
        <v>1996</v>
      </c>
      <c r="B6" s="4">
        <v>14584947</v>
      </c>
      <c r="C6" s="4">
        <v>272161</v>
      </c>
      <c r="D6" s="1">
        <v>18.660403771093581</v>
      </c>
      <c r="E6" s="4">
        <v>3906774</v>
      </c>
      <c r="F6" s="1">
        <v>69.663871009687284</v>
      </c>
      <c r="G6" s="4">
        <v>40806</v>
      </c>
      <c r="H6" s="4">
        <v>627079</v>
      </c>
      <c r="I6" s="4">
        <v>71887</v>
      </c>
      <c r="J6" s="4">
        <v>621590</v>
      </c>
      <c r="K6" s="4">
        <v>69463</v>
      </c>
      <c r="L6" s="4">
        <v>610688</v>
      </c>
      <c r="M6" s="4">
        <v>55227</v>
      </c>
      <c r="N6" s="4">
        <v>606676</v>
      </c>
      <c r="O6" s="4">
        <v>28005</v>
      </c>
      <c r="P6" s="4">
        <v>553259</v>
      </c>
      <c r="Q6" s="4">
        <v>6465</v>
      </c>
      <c r="R6" s="4">
        <v>492844</v>
      </c>
      <c r="S6">
        <v>308</v>
      </c>
      <c r="T6" s="4">
        <v>394638</v>
      </c>
      <c r="U6" s="1">
        <v>65.07314070475968</v>
      </c>
      <c r="V6" s="1">
        <v>115.65018742257759</v>
      </c>
      <c r="W6" s="1">
        <v>113.74548050723118</v>
      </c>
      <c r="X6" s="1">
        <v>91.032115989424341</v>
      </c>
      <c r="Y6" s="1">
        <v>50.618245704091578</v>
      </c>
      <c r="Z6" s="1">
        <v>13.117741110777446</v>
      </c>
      <c r="AA6" s="1">
        <v>0.78046209437509828</v>
      </c>
      <c r="AB6" s="5">
        <v>2.2500868676661847</v>
      </c>
      <c r="AC6" s="5">
        <v>1.1000000000000001</v>
      </c>
      <c r="AD6" s="1">
        <v>27.4</v>
      </c>
      <c r="AE6" s="1">
        <v>27.1</v>
      </c>
      <c r="AF6" s="1">
        <v>26.7</v>
      </c>
    </row>
    <row r="7" spans="1:32" x14ac:dyDescent="0.4">
      <c r="A7">
        <v>1997</v>
      </c>
      <c r="B7" s="4">
        <v>14782706</v>
      </c>
      <c r="C7" s="4">
        <v>265493</v>
      </c>
      <c r="D7" s="1">
        <v>17.959702371135567</v>
      </c>
      <c r="E7" s="4">
        <v>3960637</v>
      </c>
      <c r="F7" s="1">
        <v>67.032904050535308</v>
      </c>
      <c r="G7" s="4">
        <v>41601</v>
      </c>
      <c r="H7" s="4">
        <v>629578</v>
      </c>
      <c r="I7" s="4">
        <v>67739</v>
      </c>
      <c r="J7" s="4">
        <v>627255</v>
      </c>
      <c r="K7" s="4">
        <v>67307</v>
      </c>
      <c r="L7" s="4">
        <v>607065</v>
      </c>
      <c r="M7" s="4">
        <v>53602</v>
      </c>
      <c r="N7" s="4">
        <v>612728</v>
      </c>
      <c r="O7" s="4">
        <v>28364</v>
      </c>
      <c r="P7" s="4">
        <v>564190</v>
      </c>
      <c r="Q7" s="4">
        <v>6547</v>
      </c>
      <c r="R7" s="4">
        <v>506223</v>
      </c>
      <c r="S7">
        <v>333</v>
      </c>
      <c r="T7" s="4">
        <v>413598</v>
      </c>
      <c r="U7" s="1">
        <v>66.077594833364572</v>
      </c>
      <c r="V7" s="1">
        <v>107.99276211429164</v>
      </c>
      <c r="W7" s="1">
        <v>110.8728060421866</v>
      </c>
      <c r="X7" s="1">
        <v>87.480905067175001</v>
      </c>
      <c r="Y7" s="1">
        <v>50.273843917829105</v>
      </c>
      <c r="Z7" s="1">
        <v>12.933035440902527</v>
      </c>
      <c r="AA7" s="1">
        <v>0.80512961861517696</v>
      </c>
      <c r="AB7" s="5">
        <v>2.1821803851718231</v>
      </c>
      <c r="AC7" s="5">
        <v>1.06</v>
      </c>
      <c r="AD7" s="1">
        <v>27.4</v>
      </c>
      <c r="AE7" s="1">
        <v>27.1</v>
      </c>
      <c r="AF7" s="1">
        <v>26.7</v>
      </c>
    </row>
    <row r="8" spans="1:32" x14ac:dyDescent="0.4">
      <c r="A8">
        <v>1998</v>
      </c>
      <c r="B8" s="4">
        <v>14974898</v>
      </c>
      <c r="C8" s="4">
        <v>261803</v>
      </c>
      <c r="D8" s="1">
        <v>17.482790199973312</v>
      </c>
      <c r="E8" s="4">
        <v>4012790</v>
      </c>
      <c r="F8" s="1">
        <v>65.242138262904376</v>
      </c>
      <c r="G8" s="4">
        <v>42289</v>
      </c>
      <c r="H8" s="4">
        <v>633890</v>
      </c>
      <c r="I8" s="4">
        <v>64390</v>
      </c>
      <c r="J8" s="4">
        <v>629663</v>
      </c>
      <c r="K8" s="4">
        <v>66584</v>
      </c>
      <c r="L8" s="4">
        <v>605920</v>
      </c>
      <c r="M8" s="4">
        <v>52892</v>
      </c>
      <c r="N8" s="4">
        <v>616120</v>
      </c>
      <c r="O8" s="4">
        <v>28645</v>
      </c>
      <c r="P8" s="4">
        <v>575532</v>
      </c>
      <c r="Q8" s="4">
        <v>6663</v>
      </c>
      <c r="R8" s="4">
        <v>518274</v>
      </c>
      <c r="S8">
        <v>340</v>
      </c>
      <c r="T8" s="4">
        <v>433391</v>
      </c>
      <c r="U8" s="1">
        <v>66.713467636340681</v>
      </c>
      <c r="V8" s="1">
        <v>102.2610507525454</v>
      </c>
      <c r="W8" s="1">
        <v>109.88909426987061</v>
      </c>
      <c r="X8" s="1">
        <v>85.84691293903785</v>
      </c>
      <c r="Y8" s="1">
        <v>49.77134199314721</v>
      </c>
      <c r="Z8" s="1">
        <v>12.856134014054343</v>
      </c>
      <c r="AA8" s="1">
        <v>0.78451098430747301</v>
      </c>
      <c r="AB8" s="5">
        <v>2.1406125629465178</v>
      </c>
      <c r="AC8" s="5">
        <v>1.05</v>
      </c>
      <c r="AD8" s="1">
        <v>27.4</v>
      </c>
      <c r="AE8" s="1">
        <v>27.2</v>
      </c>
      <c r="AF8" s="1">
        <v>26.8</v>
      </c>
    </row>
    <row r="9" spans="1:32" x14ac:dyDescent="0.4">
      <c r="A9">
        <v>1999</v>
      </c>
      <c r="B9" s="4">
        <v>15162353</v>
      </c>
      <c r="C9" s="4">
        <v>254096</v>
      </c>
      <c r="D9" s="1">
        <v>16.758348786629622</v>
      </c>
      <c r="E9" s="4">
        <v>4063298</v>
      </c>
      <c r="F9" s="1">
        <v>62.534424007296529</v>
      </c>
      <c r="G9" s="4">
        <v>40991</v>
      </c>
      <c r="H9" s="4">
        <v>638246</v>
      </c>
      <c r="I9" s="4">
        <v>60102</v>
      </c>
      <c r="J9" s="4">
        <v>629159</v>
      </c>
      <c r="K9" s="4">
        <v>65012</v>
      </c>
      <c r="L9" s="4">
        <v>608512</v>
      </c>
      <c r="M9" s="4">
        <v>51783</v>
      </c>
      <c r="N9" s="4">
        <v>616577</v>
      </c>
      <c r="O9" s="4">
        <v>29112</v>
      </c>
      <c r="P9" s="4">
        <v>586766</v>
      </c>
      <c r="Q9" s="4">
        <v>6791</v>
      </c>
      <c r="R9" s="4">
        <v>529505</v>
      </c>
      <c r="S9">
        <v>305</v>
      </c>
      <c r="T9" s="4">
        <v>454533</v>
      </c>
      <c r="U9" s="1">
        <v>64.224452640517924</v>
      </c>
      <c r="V9" s="1">
        <v>95.527521659866579</v>
      </c>
      <c r="W9" s="1">
        <v>106.83766302061422</v>
      </c>
      <c r="X9" s="1">
        <v>83.98464425367797</v>
      </c>
      <c r="Y9" s="1">
        <v>49.614326665144198</v>
      </c>
      <c r="Z9" s="1">
        <v>12.825185786725337</v>
      </c>
      <c r="AA9" s="1">
        <v>0.67101838590377383</v>
      </c>
      <c r="AB9" s="5">
        <v>2.0684240620622503</v>
      </c>
      <c r="AC9" s="5">
        <v>1.01</v>
      </c>
      <c r="AD9" s="1">
        <v>27.5</v>
      </c>
      <c r="AE9" s="1">
        <v>27.3</v>
      </c>
      <c r="AF9" s="1">
        <v>27</v>
      </c>
    </row>
    <row r="10" spans="1:32" x14ac:dyDescent="0.4">
      <c r="A10">
        <v>2000</v>
      </c>
      <c r="B10" s="4">
        <v>15343326</v>
      </c>
      <c r="C10" s="4">
        <v>252155</v>
      </c>
      <c r="D10" s="1">
        <v>16.434181219899777</v>
      </c>
      <c r="E10" s="4">
        <v>4109512</v>
      </c>
      <c r="F10" s="1">
        <v>61.358866940892248</v>
      </c>
      <c r="G10" s="4">
        <v>40840</v>
      </c>
      <c r="H10" s="4">
        <v>641737</v>
      </c>
      <c r="I10" s="4">
        <v>57890</v>
      </c>
      <c r="J10" s="4">
        <v>627392</v>
      </c>
      <c r="K10" s="4">
        <v>64649</v>
      </c>
      <c r="L10" s="4">
        <v>614689</v>
      </c>
      <c r="M10" s="4">
        <v>51339</v>
      </c>
      <c r="N10" s="4">
        <v>614268</v>
      </c>
      <c r="O10" s="4">
        <v>29857</v>
      </c>
      <c r="P10" s="4">
        <v>597086</v>
      </c>
      <c r="Q10" s="4">
        <v>7212</v>
      </c>
      <c r="R10" s="4">
        <v>540210</v>
      </c>
      <c r="S10">
        <v>368</v>
      </c>
      <c r="T10" s="4">
        <v>474130</v>
      </c>
      <c r="U10" s="1">
        <v>63.63977766592857</v>
      </c>
      <c r="V10" s="1">
        <v>92.270860960930335</v>
      </c>
      <c r="W10" s="1">
        <v>105.17351050693928</v>
      </c>
      <c r="X10" s="1">
        <v>83.57752642169217</v>
      </c>
      <c r="Y10" s="1">
        <v>50.004521961660465</v>
      </c>
      <c r="Z10" s="1">
        <v>13.350363747431555</v>
      </c>
      <c r="AA10" s="1">
        <v>0.77615843755931913</v>
      </c>
      <c r="AB10" s="5">
        <v>2.0439635985107083</v>
      </c>
      <c r="AC10" s="5">
        <v>0.99</v>
      </c>
      <c r="AD10" s="1">
        <v>27.6</v>
      </c>
      <c r="AE10" s="1">
        <v>27.4</v>
      </c>
      <c r="AF10" s="1">
        <v>27.1</v>
      </c>
    </row>
    <row r="11" spans="1:32" x14ac:dyDescent="0.4">
      <c r="A11">
        <v>2001</v>
      </c>
      <c r="B11" s="4">
        <v>15520049</v>
      </c>
      <c r="C11" s="4">
        <v>248651</v>
      </c>
      <c r="D11" s="1">
        <v>16.021276736948447</v>
      </c>
      <c r="E11" s="4">
        <v>4149776</v>
      </c>
      <c r="F11" s="1">
        <v>59.919137804064604</v>
      </c>
      <c r="G11" s="4">
        <v>40295</v>
      </c>
      <c r="H11" s="4">
        <v>644632</v>
      </c>
      <c r="I11" s="4">
        <v>56468</v>
      </c>
      <c r="J11" s="4">
        <v>627273</v>
      </c>
      <c r="K11" s="4">
        <v>62370</v>
      </c>
      <c r="L11" s="4">
        <v>621851</v>
      </c>
      <c r="M11" s="4">
        <v>51173</v>
      </c>
      <c r="N11" s="4">
        <v>610567</v>
      </c>
      <c r="O11" s="4">
        <v>30457</v>
      </c>
      <c r="P11" s="4">
        <v>605577</v>
      </c>
      <c r="Q11" s="4">
        <v>7496</v>
      </c>
      <c r="R11" s="4">
        <v>550955</v>
      </c>
      <c r="S11">
        <v>392</v>
      </c>
      <c r="T11" s="4">
        <v>488921</v>
      </c>
      <c r="U11" s="1">
        <v>62.508531999652519</v>
      </c>
      <c r="V11" s="1">
        <v>90.02141013561878</v>
      </c>
      <c r="W11" s="1">
        <v>100.29733810832499</v>
      </c>
      <c r="X11" s="1">
        <v>83.812259752000998</v>
      </c>
      <c r="Y11" s="1">
        <v>50.294182242720581</v>
      </c>
      <c r="Z11" s="1">
        <v>13.605466871160077</v>
      </c>
      <c r="AA11" s="1">
        <v>0.80176552040104643</v>
      </c>
      <c r="AB11" s="5">
        <v>2.0067047731493952</v>
      </c>
      <c r="AC11" s="5">
        <v>0.98</v>
      </c>
      <c r="AD11" s="1">
        <v>27.7</v>
      </c>
      <c r="AE11" s="1">
        <v>27.5</v>
      </c>
      <c r="AF11" s="1">
        <v>27.3</v>
      </c>
    </row>
    <row r="12" spans="1:32" x14ac:dyDescent="0.4">
      <c r="A12">
        <v>2002</v>
      </c>
      <c r="B12" s="4">
        <v>15691701</v>
      </c>
      <c r="C12" s="4">
        <v>241027</v>
      </c>
      <c r="D12" s="1">
        <v>15.360157576288255</v>
      </c>
      <c r="E12" s="4">
        <v>4189939</v>
      </c>
      <c r="F12" s="1">
        <v>57.525181154188644</v>
      </c>
      <c r="G12" s="4">
        <v>37940</v>
      </c>
      <c r="H12" s="4">
        <v>648972</v>
      </c>
      <c r="I12" s="4">
        <v>55888</v>
      </c>
      <c r="J12" s="4">
        <v>629930</v>
      </c>
      <c r="K12" s="4">
        <v>59279</v>
      </c>
      <c r="L12" s="4">
        <v>627696</v>
      </c>
      <c r="M12" s="4">
        <v>49999</v>
      </c>
      <c r="N12" s="4">
        <v>607148</v>
      </c>
      <c r="O12" s="4">
        <v>29702</v>
      </c>
      <c r="P12" s="4">
        <v>611783</v>
      </c>
      <c r="Q12" s="4">
        <v>7888</v>
      </c>
      <c r="R12" s="4">
        <v>562020</v>
      </c>
      <c r="S12">
        <v>331</v>
      </c>
      <c r="T12" s="4">
        <v>502390</v>
      </c>
      <c r="U12" s="1">
        <v>58.461690180778213</v>
      </c>
      <c r="V12" s="1">
        <v>88.720968996555172</v>
      </c>
      <c r="W12" s="1">
        <v>94.439027809640336</v>
      </c>
      <c r="X12" s="1">
        <v>82.350596559652672</v>
      </c>
      <c r="Y12" s="1">
        <v>48.54989432527546</v>
      </c>
      <c r="Z12" s="1">
        <v>14.035087719298247</v>
      </c>
      <c r="AA12" s="1">
        <v>0.65885069368418958</v>
      </c>
      <c r="AB12" s="5">
        <v>1.9360805814244215</v>
      </c>
      <c r="AC12" s="5">
        <v>0.95</v>
      </c>
      <c r="AD12" s="1">
        <v>27.7</v>
      </c>
      <c r="AE12" s="1">
        <v>27.6</v>
      </c>
      <c r="AF12" s="1">
        <v>27.4</v>
      </c>
    </row>
    <row r="13" spans="1:32" x14ac:dyDescent="0.4">
      <c r="A13">
        <v>2003</v>
      </c>
      <c r="B13" s="4">
        <v>15856977</v>
      </c>
      <c r="C13" s="4">
        <v>236223</v>
      </c>
      <c r="D13" s="1">
        <v>14.897101761577884</v>
      </c>
      <c r="E13" s="4">
        <v>4232708</v>
      </c>
      <c r="F13" s="1">
        <v>55.808952566536597</v>
      </c>
      <c r="G13" s="4">
        <v>35090</v>
      </c>
      <c r="H13" s="4">
        <v>658315</v>
      </c>
      <c r="I13" s="4">
        <v>54940</v>
      </c>
      <c r="J13" s="4">
        <v>634419</v>
      </c>
      <c r="K13" s="4">
        <v>56860</v>
      </c>
      <c r="L13" s="4">
        <v>630322</v>
      </c>
      <c r="M13" s="4">
        <v>50932</v>
      </c>
      <c r="N13" s="4">
        <v>606228</v>
      </c>
      <c r="O13" s="4">
        <v>29882</v>
      </c>
      <c r="P13" s="4">
        <v>615357</v>
      </c>
      <c r="Q13" s="4">
        <v>8147</v>
      </c>
      <c r="R13" s="4">
        <v>573512</v>
      </c>
      <c r="S13">
        <v>372</v>
      </c>
      <c r="T13" s="4">
        <v>514555</v>
      </c>
      <c r="U13" s="1">
        <v>53.302750203170213</v>
      </c>
      <c r="V13" s="1">
        <v>86.5989196414357</v>
      </c>
      <c r="W13" s="1">
        <v>90.207862013383647</v>
      </c>
      <c r="X13" s="1">
        <v>84.014595168814381</v>
      </c>
      <c r="Y13" s="1">
        <v>48.56042914925807</v>
      </c>
      <c r="Z13" s="1">
        <v>14.205456904127551</v>
      </c>
      <c r="AA13" s="1">
        <v>0.72295478617446141</v>
      </c>
      <c r="AB13" s="5">
        <v>1.8880648393318202</v>
      </c>
      <c r="AC13" s="5">
        <v>0.92</v>
      </c>
      <c r="AD13" s="1">
        <v>27.9</v>
      </c>
      <c r="AE13" s="1">
        <v>27.7</v>
      </c>
      <c r="AF13" s="1">
        <v>27.6</v>
      </c>
    </row>
    <row r="14" spans="1:32" x14ac:dyDescent="0.4">
      <c r="A14">
        <v>2004</v>
      </c>
      <c r="B14" s="4">
        <v>16022133</v>
      </c>
      <c r="C14" s="4">
        <v>232588</v>
      </c>
      <c r="D14" s="1">
        <v>14.516668910437829</v>
      </c>
      <c r="E14" s="4">
        <v>4282187</v>
      </c>
      <c r="F14" s="1">
        <v>54.315236583549485</v>
      </c>
      <c r="G14" s="4">
        <v>34762</v>
      </c>
      <c r="H14" s="4">
        <v>675599</v>
      </c>
      <c r="I14" s="4">
        <v>54056</v>
      </c>
      <c r="J14" s="4">
        <v>639373</v>
      </c>
      <c r="K14" s="4">
        <v>54670</v>
      </c>
      <c r="L14" s="4">
        <v>630550</v>
      </c>
      <c r="M14" s="4">
        <v>51076</v>
      </c>
      <c r="N14" s="4">
        <v>609432</v>
      </c>
      <c r="O14" s="4">
        <v>29396</v>
      </c>
      <c r="P14" s="4">
        <v>616269</v>
      </c>
      <c r="Q14" s="4">
        <v>8289</v>
      </c>
      <c r="R14" s="4">
        <v>585018</v>
      </c>
      <c r="S14">
        <v>339</v>
      </c>
      <c r="T14" s="4">
        <v>525946</v>
      </c>
      <c r="U14" s="1">
        <v>51.453598954409344</v>
      </c>
      <c r="V14" s="1">
        <v>84.545328001026007</v>
      </c>
      <c r="W14" s="1">
        <v>86.702085480929355</v>
      </c>
      <c r="X14" s="1">
        <v>83.809186258680214</v>
      </c>
      <c r="Y14" s="1">
        <v>47.699949210490871</v>
      </c>
      <c r="Z14" s="1">
        <v>14.168794806313651</v>
      </c>
      <c r="AA14" s="1">
        <v>0.64455286284143232</v>
      </c>
      <c r="AB14" s="5">
        <v>1.8451174778734543</v>
      </c>
      <c r="AC14" s="5">
        <v>0.9</v>
      </c>
      <c r="AD14" s="1">
        <v>28</v>
      </c>
      <c r="AE14" s="1">
        <v>27.8</v>
      </c>
      <c r="AF14" s="1">
        <v>27.6</v>
      </c>
    </row>
    <row r="15" spans="1:32" x14ac:dyDescent="0.4">
      <c r="A15">
        <v>2005</v>
      </c>
      <c r="B15" s="4">
        <v>16183489</v>
      </c>
      <c r="C15" s="4">
        <v>232092</v>
      </c>
      <c r="D15" s="1">
        <v>14.341283267161982</v>
      </c>
      <c r="E15" s="4">
        <v>4331575</v>
      </c>
      <c r="F15" s="1">
        <v>53.581434004952008</v>
      </c>
      <c r="G15" s="4">
        <v>36275</v>
      </c>
      <c r="H15" s="4">
        <v>695132</v>
      </c>
      <c r="I15" s="4">
        <v>54327</v>
      </c>
      <c r="J15" s="4">
        <v>643493</v>
      </c>
      <c r="K15" s="4">
        <v>53693</v>
      </c>
      <c r="L15" s="4">
        <v>629619</v>
      </c>
      <c r="M15" s="4">
        <v>50179</v>
      </c>
      <c r="N15" s="4">
        <v>616321</v>
      </c>
      <c r="O15" s="4">
        <v>28967</v>
      </c>
      <c r="P15" s="4">
        <v>614501</v>
      </c>
      <c r="Q15" s="4">
        <v>8279</v>
      </c>
      <c r="R15" s="4">
        <v>595666</v>
      </c>
      <c r="S15">
        <v>372</v>
      </c>
      <c r="T15" s="4">
        <v>536843</v>
      </c>
      <c r="U15" s="1">
        <v>52.184333335251438</v>
      </c>
      <c r="V15" s="1">
        <v>84.425160802060006</v>
      </c>
      <c r="W15" s="1">
        <v>85.278557349762323</v>
      </c>
      <c r="X15" s="1">
        <v>81.416988874304138</v>
      </c>
      <c r="Y15" s="1">
        <v>47.13906079892466</v>
      </c>
      <c r="Z15" s="1">
        <v>13.898728482068812</v>
      </c>
      <c r="AA15" s="1">
        <v>0.69294002157055223</v>
      </c>
      <c r="AB15" s="5">
        <v>1.8251788483197098</v>
      </c>
      <c r="AC15" s="5">
        <v>0.89</v>
      </c>
      <c r="AD15" s="1">
        <v>27.9</v>
      </c>
      <c r="AE15" s="1">
        <v>27.7</v>
      </c>
      <c r="AF15" s="1">
        <v>27.4</v>
      </c>
    </row>
    <row r="16" spans="1:32" x14ac:dyDescent="0.4">
      <c r="A16">
        <v>2006</v>
      </c>
      <c r="B16" s="4">
        <v>16347890</v>
      </c>
      <c r="C16" s="4">
        <v>233104</v>
      </c>
      <c r="D16" s="1">
        <v>14.258965530108167</v>
      </c>
      <c r="E16" s="4">
        <v>4382429</v>
      </c>
      <c r="F16" s="1">
        <v>53.190593618287942</v>
      </c>
      <c r="G16" s="4">
        <v>38054</v>
      </c>
      <c r="H16" s="4">
        <v>715810</v>
      </c>
      <c r="I16" s="4">
        <v>54716</v>
      </c>
      <c r="J16" s="4">
        <v>647257</v>
      </c>
      <c r="K16" s="4">
        <v>52777</v>
      </c>
      <c r="L16" s="4">
        <v>630699</v>
      </c>
      <c r="M16" s="4">
        <v>49702</v>
      </c>
      <c r="N16" s="4">
        <v>624533</v>
      </c>
      <c r="O16" s="4">
        <v>28981</v>
      </c>
      <c r="P16" s="4">
        <v>611588</v>
      </c>
      <c r="Q16" s="4">
        <v>8434</v>
      </c>
      <c r="R16" s="4">
        <v>604655</v>
      </c>
      <c r="S16">
        <v>440</v>
      </c>
      <c r="T16" s="4">
        <v>547887</v>
      </c>
      <c r="U16" s="1">
        <v>53.162151967700922</v>
      </c>
      <c r="V16" s="1">
        <v>84.535200082811002</v>
      </c>
      <c r="W16" s="1">
        <v>83.680170731204583</v>
      </c>
      <c r="X16" s="1">
        <v>79.582664166665339</v>
      </c>
      <c r="Y16" s="1">
        <v>47.386475862835766</v>
      </c>
      <c r="Z16" s="1">
        <v>13.94844994252921</v>
      </c>
      <c r="AA16" s="1">
        <v>0.80308530773681441</v>
      </c>
      <c r="AB16" s="5">
        <v>1.8154909903074183</v>
      </c>
      <c r="AC16" s="5">
        <v>0.89</v>
      </c>
      <c r="AD16" s="1">
        <v>27.9</v>
      </c>
      <c r="AE16" s="1">
        <v>27.6</v>
      </c>
      <c r="AF16" s="1">
        <v>27.2</v>
      </c>
    </row>
    <row r="17" spans="1:32" x14ac:dyDescent="0.4">
      <c r="A17">
        <v>2007</v>
      </c>
      <c r="B17" s="4">
        <v>16517933</v>
      </c>
      <c r="C17" s="4">
        <v>242054</v>
      </c>
      <c r="D17" s="1">
        <v>14.6540127024368</v>
      </c>
      <c r="E17" s="4">
        <v>4428165</v>
      </c>
      <c r="F17" s="1">
        <v>54.662371433765458</v>
      </c>
      <c r="G17" s="4">
        <v>39857</v>
      </c>
      <c r="H17" s="4">
        <v>729410</v>
      </c>
      <c r="I17" s="4">
        <v>56531</v>
      </c>
      <c r="J17" s="4">
        <v>652519</v>
      </c>
      <c r="K17" s="4">
        <v>56788</v>
      </c>
      <c r="L17" s="4">
        <v>634722</v>
      </c>
      <c r="M17" s="4">
        <v>50470</v>
      </c>
      <c r="N17" s="4">
        <v>631628</v>
      </c>
      <c r="O17" s="4">
        <v>29625</v>
      </c>
      <c r="P17" s="4">
        <v>609107</v>
      </c>
      <c r="Q17" s="4">
        <v>8377</v>
      </c>
      <c r="R17" s="4">
        <v>611470</v>
      </c>
      <c r="S17">
        <v>406</v>
      </c>
      <c r="T17" s="4">
        <v>559309</v>
      </c>
      <c r="U17" s="1">
        <v>54.642793490629415</v>
      </c>
      <c r="V17" s="1">
        <v>86.63502518700605</v>
      </c>
      <c r="W17" s="1">
        <v>89.469090404933183</v>
      </c>
      <c r="X17" s="1">
        <v>79.904627407271377</v>
      </c>
      <c r="Y17" s="1">
        <v>48.636774819530885</v>
      </c>
      <c r="Z17" s="1">
        <v>13.699772678953996</v>
      </c>
      <c r="AA17" s="1">
        <v>0.72589570344836218</v>
      </c>
      <c r="AB17" s="5">
        <v>1.8685698984588668</v>
      </c>
      <c r="AC17" s="5">
        <v>0.91</v>
      </c>
      <c r="AD17" s="1">
        <v>27.8</v>
      </c>
      <c r="AE17" s="1">
        <v>27.5</v>
      </c>
      <c r="AF17" s="1">
        <v>27.1</v>
      </c>
    </row>
    <row r="18" spans="1:32" x14ac:dyDescent="0.4">
      <c r="A18">
        <v>2008</v>
      </c>
      <c r="B18" s="4">
        <v>16697754</v>
      </c>
      <c r="C18" s="4">
        <v>248366</v>
      </c>
      <c r="D18" s="1">
        <v>14.874216017315861</v>
      </c>
      <c r="E18" s="4">
        <v>4469643</v>
      </c>
      <c r="F18" s="1">
        <v>55.567301460094242</v>
      </c>
      <c r="G18" s="4">
        <v>41229</v>
      </c>
      <c r="H18" s="4">
        <v>733741</v>
      </c>
      <c r="I18" s="4">
        <v>58342</v>
      </c>
      <c r="J18" s="4">
        <v>662909</v>
      </c>
      <c r="K18" s="4">
        <v>58768</v>
      </c>
      <c r="L18" s="4">
        <v>640837</v>
      </c>
      <c r="M18" s="4">
        <v>50763</v>
      </c>
      <c r="N18" s="4">
        <v>635790</v>
      </c>
      <c r="O18" s="4">
        <v>30457</v>
      </c>
      <c r="P18" s="4">
        <v>609324</v>
      </c>
      <c r="Q18" s="4">
        <v>8368</v>
      </c>
      <c r="R18" s="4">
        <v>615802</v>
      </c>
      <c r="S18">
        <v>439</v>
      </c>
      <c r="T18" s="4">
        <v>571240</v>
      </c>
      <c r="U18" s="1">
        <v>56.190127033926139</v>
      </c>
      <c r="V18" s="1">
        <v>88.009063084073389</v>
      </c>
      <c r="W18" s="1">
        <v>91.705066967107072</v>
      </c>
      <c r="X18" s="1">
        <v>79.842400792714585</v>
      </c>
      <c r="Y18" s="1">
        <v>49.984901300457551</v>
      </c>
      <c r="Z18" s="1">
        <v>13.588783407653757</v>
      </c>
      <c r="AA18" s="1">
        <v>0.76850360619004277</v>
      </c>
      <c r="AB18" s="5">
        <v>1.9004442309606129</v>
      </c>
      <c r="AC18" s="5">
        <v>0.93</v>
      </c>
      <c r="AD18" s="1">
        <v>27.8</v>
      </c>
      <c r="AE18" s="1">
        <v>27.5</v>
      </c>
      <c r="AF18" s="1">
        <v>27</v>
      </c>
    </row>
    <row r="19" spans="1:32" x14ac:dyDescent="0.4">
      <c r="A19">
        <v>2009</v>
      </c>
      <c r="B19" s="4">
        <v>16881078</v>
      </c>
      <c r="C19" s="4">
        <v>253574</v>
      </c>
      <c r="D19" s="1">
        <v>15.021197106014201</v>
      </c>
      <c r="E19" s="4">
        <v>4506645</v>
      </c>
      <c r="F19" s="1">
        <v>56.266690631278919</v>
      </c>
      <c r="G19" s="4">
        <v>40927</v>
      </c>
      <c r="H19" s="4">
        <v>728538</v>
      </c>
      <c r="I19" s="4">
        <v>60695</v>
      </c>
      <c r="J19" s="4">
        <v>680831</v>
      </c>
      <c r="K19" s="4">
        <v>61096</v>
      </c>
      <c r="L19" s="4">
        <v>646788</v>
      </c>
      <c r="M19" s="4">
        <v>50232</v>
      </c>
      <c r="N19" s="4">
        <v>636978</v>
      </c>
      <c r="O19" s="4">
        <v>31549</v>
      </c>
      <c r="P19" s="4">
        <v>613243</v>
      </c>
      <c r="Q19" s="4">
        <v>8629</v>
      </c>
      <c r="R19" s="4">
        <v>617218</v>
      </c>
      <c r="S19">
        <v>446</v>
      </c>
      <c r="T19" s="4">
        <v>583049</v>
      </c>
      <c r="U19" s="1">
        <v>56.176891253441823</v>
      </c>
      <c r="V19" s="1">
        <v>89.148408342158334</v>
      </c>
      <c r="W19" s="1">
        <v>94.460626975144876</v>
      </c>
      <c r="X19" s="1">
        <v>78.859866431807689</v>
      </c>
      <c r="Y19" s="1">
        <v>51.446164081775088</v>
      </c>
      <c r="Z19" s="1">
        <v>13.980473673807309</v>
      </c>
      <c r="AA19" s="1">
        <v>0.76494428427113326</v>
      </c>
      <c r="AB19" s="5">
        <v>1.9241868752120308</v>
      </c>
      <c r="AC19" s="5">
        <v>0.94</v>
      </c>
      <c r="AD19" s="1">
        <v>27.8</v>
      </c>
      <c r="AE19" s="1">
        <v>27.5</v>
      </c>
      <c r="AF19" s="1">
        <v>27.1</v>
      </c>
    </row>
    <row r="20" spans="1:32" x14ac:dyDescent="0.4">
      <c r="A20">
        <v>2010</v>
      </c>
      <c r="B20" s="4">
        <v>17063927</v>
      </c>
      <c r="C20" s="4">
        <v>251199</v>
      </c>
      <c r="D20" s="1">
        <v>14.721054538032188</v>
      </c>
      <c r="E20" s="4">
        <v>4538990</v>
      </c>
      <c r="F20" s="1">
        <v>55.342488086556699</v>
      </c>
      <c r="G20" s="4">
        <v>39105</v>
      </c>
      <c r="H20" s="4">
        <v>718807</v>
      </c>
      <c r="I20" s="4">
        <v>60029</v>
      </c>
      <c r="J20" s="4">
        <v>700844</v>
      </c>
      <c r="K20" s="4">
        <v>59768</v>
      </c>
      <c r="L20" s="4">
        <v>651747</v>
      </c>
      <c r="M20" s="4">
        <v>50965</v>
      </c>
      <c r="N20" s="4">
        <v>636910</v>
      </c>
      <c r="O20" s="4">
        <v>32379</v>
      </c>
      <c r="P20" s="4">
        <v>620777</v>
      </c>
      <c r="Q20" s="4">
        <v>8499</v>
      </c>
      <c r="R20" s="4">
        <v>615928</v>
      </c>
      <c r="S20">
        <v>454</v>
      </c>
      <c r="T20" s="4">
        <v>593977</v>
      </c>
      <c r="U20" s="1">
        <v>54.402642155682962</v>
      </c>
      <c r="V20" s="1">
        <v>85.652441912893607</v>
      </c>
      <c r="W20" s="1">
        <v>91.704296299024008</v>
      </c>
      <c r="X20" s="1">
        <v>80.019154982650605</v>
      </c>
      <c r="Y20" s="1">
        <v>52.158826760656403</v>
      </c>
      <c r="Z20" s="1">
        <v>13.798690756062397</v>
      </c>
      <c r="AA20" s="1">
        <v>0.76433935994154656</v>
      </c>
      <c r="AB20" s="5">
        <v>1.8925019611345579</v>
      </c>
      <c r="AC20" s="5">
        <v>0.93</v>
      </c>
      <c r="AD20" s="1">
        <v>28</v>
      </c>
      <c r="AE20" s="1">
        <v>27.6</v>
      </c>
      <c r="AF20" s="1">
        <v>27.3</v>
      </c>
    </row>
    <row r="21" spans="1:32" x14ac:dyDescent="0.4">
      <c r="A21">
        <v>2011</v>
      </c>
      <c r="B21" s="4">
        <v>17254159</v>
      </c>
      <c r="C21" s="4">
        <v>248879</v>
      </c>
      <c r="D21" s="1">
        <v>14.424290398622151</v>
      </c>
      <c r="E21" s="4">
        <v>4570263</v>
      </c>
      <c r="F21" s="1">
        <v>54.45616587054181</v>
      </c>
      <c r="G21" s="4">
        <v>37446</v>
      </c>
      <c r="H21" s="4">
        <v>704622</v>
      </c>
      <c r="I21" s="4">
        <v>59750</v>
      </c>
      <c r="J21" s="4">
        <v>722559</v>
      </c>
      <c r="K21" s="4">
        <v>59216</v>
      </c>
      <c r="L21" s="4">
        <v>656909</v>
      </c>
      <c r="M21" s="4">
        <v>50988</v>
      </c>
      <c r="N21" s="4">
        <v>639244</v>
      </c>
      <c r="O21" s="4">
        <v>32283</v>
      </c>
      <c r="P21" s="4">
        <v>629885</v>
      </c>
      <c r="Q21" s="4">
        <v>8707</v>
      </c>
      <c r="R21" s="4">
        <v>613669</v>
      </c>
      <c r="S21">
        <v>489</v>
      </c>
      <c r="T21" s="4">
        <v>603375</v>
      </c>
      <c r="U21" s="1">
        <v>53.14338751841413</v>
      </c>
      <c r="V21" s="1">
        <v>82.692209217517188</v>
      </c>
      <c r="W21" s="1">
        <v>90.143383634567357</v>
      </c>
      <c r="X21" s="1">
        <v>79.762970008322327</v>
      </c>
      <c r="Y21" s="1">
        <v>51.252212705493861</v>
      </c>
      <c r="Z21" s="1">
        <v>14.188430570877786</v>
      </c>
      <c r="AA21" s="1">
        <v>0.81044126786824111</v>
      </c>
      <c r="AB21" s="5">
        <v>1.8599651746153045</v>
      </c>
      <c r="AC21" s="5">
        <v>0.91</v>
      </c>
      <c r="AD21" s="1">
        <v>28</v>
      </c>
      <c r="AE21" s="1">
        <v>27.7</v>
      </c>
      <c r="AF21" s="1">
        <v>27.4</v>
      </c>
    </row>
    <row r="22" spans="1:32" x14ac:dyDescent="0.4">
      <c r="A22">
        <v>2012</v>
      </c>
      <c r="B22" s="4">
        <v>17443491</v>
      </c>
      <c r="C22" s="4">
        <v>243858</v>
      </c>
      <c r="D22" s="1">
        <v>13.979885104420898</v>
      </c>
      <c r="E22" s="4">
        <v>4598188</v>
      </c>
      <c r="F22" s="1">
        <v>53.03349928276095</v>
      </c>
      <c r="G22" s="4">
        <v>35221</v>
      </c>
      <c r="H22" s="4">
        <v>691663</v>
      </c>
      <c r="I22" s="4">
        <v>58206</v>
      </c>
      <c r="J22" s="4">
        <v>737382</v>
      </c>
      <c r="K22" s="4">
        <v>57551</v>
      </c>
      <c r="L22" s="4">
        <v>663801</v>
      </c>
      <c r="M22" s="4">
        <v>52440</v>
      </c>
      <c r="N22" s="4">
        <v>644708</v>
      </c>
      <c r="O22" s="4">
        <v>31508</v>
      </c>
      <c r="P22" s="4">
        <v>638013</v>
      </c>
      <c r="Q22" s="4">
        <v>8458</v>
      </c>
      <c r="R22" s="4">
        <v>611938</v>
      </c>
      <c r="S22">
        <v>474</v>
      </c>
      <c r="T22" s="4">
        <v>610683</v>
      </c>
      <c r="U22" s="1">
        <v>50.922197659843015</v>
      </c>
      <c r="V22" s="1">
        <v>78.936019593643465</v>
      </c>
      <c r="W22" s="1">
        <v>86.699176409797516</v>
      </c>
      <c r="X22" s="1">
        <v>81.339148886007308</v>
      </c>
      <c r="Y22" s="1">
        <v>49.384573668561607</v>
      </c>
      <c r="Z22" s="1">
        <v>13.821661671607256</v>
      </c>
      <c r="AA22" s="1">
        <v>0.77618011308649493</v>
      </c>
      <c r="AB22" s="5">
        <v>1.8093947900127332</v>
      </c>
      <c r="AC22" s="5">
        <v>0.89</v>
      </c>
      <c r="AD22" s="1">
        <v>28.1</v>
      </c>
      <c r="AE22" s="1">
        <v>27.8</v>
      </c>
      <c r="AF22" s="1">
        <v>27.5</v>
      </c>
    </row>
    <row r="23" spans="1:32" x14ac:dyDescent="0.4">
      <c r="A23">
        <v>2013</v>
      </c>
      <c r="B23" s="4">
        <v>17611902</v>
      </c>
      <c r="C23" s="4">
        <v>242862</v>
      </c>
      <c r="D23" s="1">
        <v>13.789652020548377</v>
      </c>
      <c r="E23" s="4">
        <v>4616108</v>
      </c>
      <c r="F23" s="1">
        <v>52.61185396875463</v>
      </c>
      <c r="G23" s="4">
        <v>32529</v>
      </c>
      <c r="H23" s="4">
        <v>679315</v>
      </c>
      <c r="I23" s="4">
        <v>57110</v>
      </c>
      <c r="J23" s="4">
        <v>741630</v>
      </c>
      <c r="K23" s="4">
        <v>58357</v>
      </c>
      <c r="L23" s="4">
        <v>674610</v>
      </c>
      <c r="M23" s="4">
        <v>53825</v>
      </c>
      <c r="N23" s="4">
        <v>651097</v>
      </c>
      <c r="O23" s="4">
        <v>31732</v>
      </c>
      <c r="P23" s="4">
        <v>642257</v>
      </c>
      <c r="Q23" s="4">
        <v>8847</v>
      </c>
      <c r="R23" s="4">
        <v>612162</v>
      </c>
      <c r="S23">
        <v>462</v>
      </c>
      <c r="T23" s="4">
        <v>615037</v>
      </c>
      <c r="U23" s="1">
        <v>47.885001803287132</v>
      </c>
      <c r="V23" s="1">
        <v>77.006054231894609</v>
      </c>
      <c r="W23" s="1">
        <v>86.504795363246913</v>
      </c>
      <c r="X23" s="1">
        <v>82.668173866566732</v>
      </c>
      <c r="Y23" s="1">
        <v>49.407013080433536</v>
      </c>
      <c r="Z23" s="1">
        <v>14.45205680849187</v>
      </c>
      <c r="AA23" s="1">
        <v>0.75117431959378056</v>
      </c>
      <c r="AB23" s="5">
        <v>1.793371347367573</v>
      </c>
      <c r="AC23" s="5">
        <v>0.88</v>
      </c>
      <c r="AD23" s="1">
        <v>28.3</v>
      </c>
      <c r="AE23" s="1">
        <v>28</v>
      </c>
      <c r="AF23" s="1">
        <v>27.7</v>
      </c>
    </row>
    <row r="24" spans="1:32" x14ac:dyDescent="0.4">
      <c r="A24">
        <v>2014</v>
      </c>
      <c r="B24" s="4">
        <v>17787617</v>
      </c>
      <c r="C24" s="4">
        <v>252194</v>
      </c>
      <c r="D24" s="1">
        <v>14.178065561002354</v>
      </c>
      <c r="E24" s="4">
        <v>4633341</v>
      </c>
      <c r="F24" s="1">
        <v>54.43026964775526</v>
      </c>
      <c r="G24" s="4">
        <v>30457</v>
      </c>
      <c r="H24" s="4">
        <v>667402</v>
      </c>
      <c r="I24" s="4">
        <v>57900</v>
      </c>
      <c r="J24" s="4">
        <v>736894</v>
      </c>
      <c r="K24" s="4">
        <v>63125</v>
      </c>
      <c r="L24" s="4">
        <v>693814</v>
      </c>
      <c r="M24" s="4">
        <v>57807</v>
      </c>
      <c r="N24" s="4">
        <v>658102</v>
      </c>
      <c r="O24" s="4">
        <v>33052</v>
      </c>
      <c r="P24" s="4">
        <v>644042</v>
      </c>
      <c r="Q24" s="4">
        <v>9348</v>
      </c>
      <c r="R24" s="4">
        <v>616382</v>
      </c>
      <c r="S24">
        <v>505</v>
      </c>
      <c r="T24" s="4">
        <v>616705</v>
      </c>
      <c r="U24" s="1">
        <v>45.635164413651744</v>
      </c>
      <c r="V24" s="1">
        <v>78.573037641777518</v>
      </c>
      <c r="W24" s="1">
        <v>90.982597641442808</v>
      </c>
      <c r="X24" s="1">
        <v>87.838967211769599</v>
      </c>
      <c r="Y24" s="1">
        <v>51.319634433779164</v>
      </c>
      <c r="Z24" s="1">
        <v>15.165919835426733</v>
      </c>
      <c r="AA24" s="1">
        <v>0.8188680163124995</v>
      </c>
      <c r="AB24" s="5">
        <v>1.8516709459708005</v>
      </c>
      <c r="AC24" s="5">
        <v>0.91</v>
      </c>
      <c r="AD24" s="1">
        <v>28.4</v>
      </c>
      <c r="AE24" s="1">
        <v>28.2</v>
      </c>
      <c r="AF24" s="1">
        <v>28</v>
      </c>
    </row>
    <row r="25" spans="1:32" x14ac:dyDescent="0.4">
      <c r="A25">
        <v>2015</v>
      </c>
      <c r="B25" s="4">
        <v>17971423</v>
      </c>
      <c r="C25" s="4">
        <v>245406</v>
      </c>
      <c r="D25" s="1">
        <v>13.655346045775007</v>
      </c>
      <c r="E25" s="4">
        <v>4648855</v>
      </c>
      <c r="F25" s="1">
        <v>52.788482325217714</v>
      </c>
      <c r="G25" s="4">
        <v>26245</v>
      </c>
      <c r="H25" s="4">
        <v>655486</v>
      </c>
      <c r="I25" s="4">
        <v>54428</v>
      </c>
      <c r="J25" s="4">
        <v>727914</v>
      </c>
      <c r="K25" s="4">
        <v>63405</v>
      </c>
      <c r="L25" s="4">
        <v>715607</v>
      </c>
      <c r="M25" s="4">
        <v>57549</v>
      </c>
      <c r="N25" s="4">
        <v>664676</v>
      </c>
      <c r="O25" s="4">
        <v>33699</v>
      </c>
      <c r="P25" s="4">
        <v>644932</v>
      </c>
      <c r="Q25" s="4">
        <v>9574</v>
      </c>
      <c r="R25" s="4">
        <v>624417</v>
      </c>
      <c r="S25">
        <v>506</v>
      </c>
      <c r="T25" s="4">
        <v>615823</v>
      </c>
      <c r="U25" s="1">
        <v>40.03899396783455</v>
      </c>
      <c r="V25" s="1">
        <v>74.77256928703116</v>
      </c>
      <c r="W25" s="1">
        <v>88.603101981953785</v>
      </c>
      <c r="X25" s="1">
        <v>86.582033953384808</v>
      </c>
      <c r="Y25" s="1">
        <v>52.252020368038806</v>
      </c>
      <c r="Z25" s="1">
        <v>15.332702344747181</v>
      </c>
      <c r="AA25" s="1">
        <v>0.82166466663310722</v>
      </c>
      <c r="AB25" s="5">
        <v>1.7920154328481173</v>
      </c>
      <c r="AC25" s="5">
        <v>0.88</v>
      </c>
      <c r="AD25" s="1">
        <v>28.7</v>
      </c>
      <c r="AE25" s="1">
        <v>28.5</v>
      </c>
      <c r="AF25" s="1">
        <v>28.3</v>
      </c>
    </row>
    <row r="26" spans="1:32" x14ac:dyDescent="0.4">
      <c r="A26">
        <v>2016</v>
      </c>
      <c r="B26" s="4">
        <v>18167147</v>
      </c>
      <c r="C26" s="4">
        <v>232616</v>
      </c>
      <c r="D26" s="1">
        <v>12.804211910653885</v>
      </c>
      <c r="E26" s="4">
        <v>4668739</v>
      </c>
      <c r="F26" s="1">
        <v>49.824160228275773</v>
      </c>
      <c r="G26" s="4">
        <v>21254</v>
      </c>
      <c r="H26" s="4">
        <v>645120</v>
      </c>
      <c r="I26" s="4">
        <v>49083</v>
      </c>
      <c r="J26" s="4">
        <v>715197</v>
      </c>
      <c r="K26" s="4">
        <v>61980</v>
      </c>
      <c r="L26" s="4">
        <v>739938</v>
      </c>
      <c r="M26" s="4">
        <v>56550</v>
      </c>
      <c r="N26" s="4">
        <v>671990</v>
      </c>
      <c r="O26" s="4">
        <v>33699</v>
      </c>
      <c r="P26" s="4">
        <v>648412</v>
      </c>
      <c r="Q26" s="4">
        <v>9535</v>
      </c>
      <c r="R26" s="4">
        <v>634081</v>
      </c>
      <c r="S26">
        <v>515</v>
      </c>
      <c r="T26" s="4">
        <v>614001</v>
      </c>
      <c r="U26" s="1">
        <v>32.945808531746032</v>
      </c>
      <c r="V26" s="1">
        <v>68.628643576525064</v>
      </c>
      <c r="W26" s="1">
        <v>83.763774802753744</v>
      </c>
      <c r="X26" s="1">
        <v>84.153037991636793</v>
      </c>
      <c r="Y26" s="1">
        <v>51.97158596694694</v>
      </c>
      <c r="Z26" s="1">
        <v>15.037510980458332</v>
      </c>
      <c r="AA26" s="1">
        <v>0.83876084892369884</v>
      </c>
      <c r="AB26" s="5">
        <v>1.6866956134949527</v>
      </c>
      <c r="AC26" s="5">
        <v>0.83</v>
      </c>
      <c r="AD26" s="1">
        <v>29</v>
      </c>
      <c r="AE26" s="1">
        <v>28.9</v>
      </c>
      <c r="AF26" s="1">
        <v>28.7</v>
      </c>
    </row>
    <row r="27" spans="1:32" x14ac:dyDescent="0.4">
      <c r="A27">
        <v>2017</v>
      </c>
      <c r="B27" s="4">
        <v>18419192</v>
      </c>
      <c r="C27" s="4">
        <v>219494</v>
      </c>
      <c r="D27" s="1">
        <v>11.916592215337134</v>
      </c>
      <c r="E27" s="4">
        <v>4710725</v>
      </c>
      <c r="F27" s="1">
        <v>46.594526320258559</v>
      </c>
      <c r="G27" s="4">
        <v>17409</v>
      </c>
      <c r="H27" s="4">
        <v>637170</v>
      </c>
      <c r="I27" s="4">
        <v>45162</v>
      </c>
      <c r="J27" s="4">
        <v>708070</v>
      </c>
      <c r="K27" s="4">
        <v>59594</v>
      </c>
      <c r="L27" s="4">
        <v>763405</v>
      </c>
      <c r="M27" s="4">
        <v>54055</v>
      </c>
      <c r="N27" s="4">
        <v>685707</v>
      </c>
      <c r="O27" s="4">
        <v>33601</v>
      </c>
      <c r="P27" s="4">
        <v>657944</v>
      </c>
      <c r="Q27" s="4">
        <v>9116</v>
      </c>
      <c r="R27" s="4">
        <v>644529</v>
      </c>
      <c r="S27">
        <v>557</v>
      </c>
      <c r="T27" s="4">
        <v>613900</v>
      </c>
      <c r="U27" s="1">
        <v>27.322378643062294</v>
      </c>
      <c r="V27" s="1">
        <v>63.781829480136153</v>
      </c>
      <c r="W27" s="1">
        <v>78.063413260327096</v>
      </c>
      <c r="X27" s="1">
        <v>78.831045913196164</v>
      </c>
      <c r="Y27" s="1">
        <v>51.069695901170924</v>
      </c>
      <c r="Z27" s="1">
        <v>14.143661495448615</v>
      </c>
      <c r="AA27" s="1">
        <v>0.90731389477113544</v>
      </c>
      <c r="AB27" s="5">
        <v>1.5705966929405619</v>
      </c>
      <c r="AC27" s="5">
        <v>0.77</v>
      </c>
      <c r="AD27" s="1">
        <v>29.2</v>
      </c>
      <c r="AE27" s="1">
        <v>29.1</v>
      </c>
      <c r="AF27" s="1">
        <v>29</v>
      </c>
    </row>
    <row r="28" spans="1:32" x14ac:dyDescent="0.4">
      <c r="A28">
        <v>2018</v>
      </c>
      <c r="B28" s="4">
        <v>18751405</v>
      </c>
      <c r="C28" s="4">
        <v>222088</v>
      </c>
      <c r="D28" s="1">
        <v>11.843805837482579</v>
      </c>
      <c r="E28" s="4">
        <v>4781104</v>
      </c>
      <c r="F28" s="1">
        <v>46.451196209076393</v>
      </c>
      <c r="G28" s="4">
        <v>14679</v>
      </c>
      <c r="H28" s="4">
        <v>632215</v>
      </c>
      <c r="I28" s="4">
        <v>44774</v>
      </c>
      <c r="J28" s="4">
        <v>710154</v>
      </c>
      <c r="K28" s="4">
        <v>61553</v>
      </c>
      <c r="L28" s="4">
        <v>783826</v>
      </c>
      <c r="M28" s="4">
        <v>56541</v>
      </c>
      <c r="N28" s="4">
        <v>709153</v>
      </c>
      <c r="O28" s="4">
        <v>35032</v>
      </c>
      <c r="P28" s="4">
        <v>672873</v>
      </c>
      <c r="Q28" s="4">
        <v>8963</v>
      </c>
      <c r="R28" s="4">
        <v>654543</v>
      </c>
      <c r="S28">
        <v>546</v>
      </c>
      <c r="T28" s="4">
        <v>618340</v>
      </c>
      <c r="U28" s="1">
        <v>23.218367169396487</v>
      </c>
      <c r="V28" s="1">
        <v>63.048296566660191</v>
      </c>
      <c r="W28" s="1">
        <v>78.528908201565145</v>
      </c>
      <c r="X28" s="1">
        <v>79.730326177848781</v>
      </c>
      <c r="Y28" s="1">
        <v>52.063316554535554</v>
      </c>
      <c r="Z28" s="1">
        <v>13.69352357293562</v>
      </c>
      <c r="AA28" s="1">
        <v>0.88300934760811201</v>
      </c>
      <c r="AB28" s="5">
        <v>1.5558287379527493</v>
      </c>
      <c r="AC28" s="5">
        <v>0.76</v>
      </c>
      <c r="AD28" s="1">
        <v>29.4</v>
      </c>
      <c r="AE28" s="1">
        <v>29.3</v>
      </c>
      <c r="AF28" s="1">
        <v>29.2</v>
      </c>
    </row>
    <row r="29" spans="1:32" x14ac:dyDescent="0.4">
      <c r="A29">
        <v>2019</v>
      </c>
      <c r="B29" s="4">
        <v>19107216</v>
      </c>
      <c r="C29" s="4">
        <v>210413</v>
      </c>
      <c r="D29" s="1">
        <v>11.012227003661861</v>
      </c>
      <c r="E29" s="4">
        <v>4865974</v>
      </c>
      <c r="F29" s="1">
        <v>43.241702483408261</v>
      </c>
      <c r="G29" s="4">
        <v>11997</v>
      </c>
      <c r="H29" s="4">
        <v>625645</v>
      </c>
      <c r="I29" s="4">
        <v>40263</v>
      </c>
      <c r="J29" s="4">
        <v>711606</v>
      </c>
      <c r="K29" s="4">
        <v>58401</v>
      </c>
      <c r="L29" s="4">
        <v>800590</v>
      </c>
      <c r="M29" s="4">
        <v>56201</v>
      </c>
      <c r="N29" s="4">
        <v>745995</v>
      </c>
      <c r="O29" s="4">
        <v>34158</v>
      </c>
      <c r="P29" s="4">
        <v>691342</v>
      </c>
      <c r="Q29" s="4">
        <v>8852</v>
      </c>
      <c r="R29" s="4">
        <v>663414</v>
      </c>
      <c r="S29">
        <v>541</v>
      </c>
      <c r="T29" s="4">
        <v>627382</v>
      </c>
      <c r="U29" s="1">
        <v>19.1754109758729</v>
      </c>
      <c r="V29" s="1">
        <v>56.580467281051597</v>
      </c>
      <c r="W29" s="1">
        <v>72.947451254699658</v>
      </c>
      <c r="X29" s="1">
        <v>75.336966065456195</v>
      </c>
      <c r="Y29" s="1">
        <v>49.408252355563526</v>
      </c>
      <c r="Z29" s="1">
        <v>13.343100989728887</v>
      </c>
      <c r="AA29" s="1">
        <v>0.86231355059596859</v>
      </c>
      <c r="AB29" s="5">
        <v>1.4382698123648434</v>
      </c>
      <c r="AC29" s="5">
        <v>0.7</v>
      </c>
      <c r="AD29" s="1">
        <v>29.6</v>
      </c>
      <c r="AE29" s="1">
        <v>29.6</v>
      </c>
      <c r="AF29" s="1">
        <v>29.6</v>
      </c>
    </row>
    <row r="30" spans="1:32" x14ac:dyDescent="0.4">
      <c r="A30">
        <v>2020</v>
      </c>
      <c r="B30" s="4">
        <v>19458310</v>
      </c>
      <c r="C30" s="4">
        <v>195229</v>
      </c>
      <c r="D30" s="1">
        <v>10.033194044087077</v>
      </c>
      <c r="E30" s="4">
        <v>4949344</v>
      </c>
      <c r="F30" s="1">
        <v>39.445429535712208</v>
      </c>
      <c r="G30" s="4">
        <v>9781</v>
      </c>
      <c r="H30" s="4">
        <v>619434</v>
      </c>
      <c r="I30" s="4">
        <v>35819</v>
      </c>
      <c r="J30" s="4">
        <v>710171</v>
      </c>
      <c r="K30" s="4">
        <v>53662</v>
      </c>
      <c r="L30" s="4">
        <v>811792</v>
      </c>
      <c r="M30" s="4">
        <v>54312</v>
      </c>
      <c r="N30" s="4">
        <v>785982</v>
      </c>
      <c r="O30" s="4">
        <v>32650</v>
      </c>
      <c r="P30" s="4">
        <v>709886</v>
      </c>
      <c r="Q30" s="4">
        <v>8464</v>
      </c>
      <c r="R30" s="4">
        <v>671719</v>
      </c>
      <c r="S30">
        <v>541</v>
      </c>
      <c r="T30" s="4">
        <v>640360</v>
      </c>
      <c r="U30" s="1">
        <v>15.790221395661202</v>
      </c>
      <c r="V30" s="1">
        <v>50.437148236129048</v>
      </c>
      <c r="W30" s="1">
        <v>66.103139720519536</v>
      </c>
      <c r="X30" s="1">
        <v>69.100819102727542</v>
      </c>
      <c r="Y30" s="1">
        <v>45.993300332729483</v>
      </c>
      <c r="Z30" s="1">
        <v>12.600507057266507</v>
      </c>
      <c r="AA30" s="1">
        <v>0.84483727903054529</v>
      </c>
      <c r="AB30" s="5">
        <v>1.3043498656203196</v>
      </c>
      <c r="AC30" s="5">
        <v>0.64</v>
      </c>
      <c r="AD30" s="1">
        <v>29.8</v>
      </c>
      <c r="AE30" s="1">
        <v>29.9</v>
      </c>
      <c r="AF30" s="1">
        <v>29.9</v>
      </c>
    </row>
    <row r="31" spans="1:32" x14ac:dyDescent="0.4">
      <c r="A31">
        <v>2021</v>
      </c>
      <c r="B31" s="4">
        <v>19678363</v>
      </c>
      <c r="C31" s="4">
        <v>177467</v>
      </c>
      <c r="D31" s="1">
        <v>9.0183822709236541</v>
      </c>
      <c r="E31" s="4">
        <v>4980605</v>
      </c>
      <c r="F31" s="1">
        <v>35.63161503471968</v>
      </c>
      <c r="G31" s="4">
        <v>7273</v>
      </c>
      <c r="H31" s="4">
        <v>610954</v>
      </c>
      <c r="I31" s="4">
        <v>30443</v>
      </c>
      <c r="J31" s="4">
        <v>697050</v>
      </c>
      <c r="K31" s="4">
        <v>47890</v>
      </c>
      <c r="L31" s="4">
        <v>802756</v>
      </c>
      <c r="M31" s="4">
        <v>52161</v>
      </c>
      <c r="N31" s="4">
        <v>817367</v>
      </c>
      <c r="O31" s="4">
        <v>31006</v>
      </c>
      <c r="P31" s="4">
        <v>722171</v>
      </c>
      <c r="Q31" s="4">
        <v>8236</v>
      </c>
      <c r="R31" s="4">
        <v>678365</v>
      </c>
      <c r="S31" s="4">
        <v>458</v>
      </c>
      <c r="T31" s="4">
        <v>651942</v>
      </c>
      <c r="U31" s="1">
        <v>11.904333223123182</v>
      </c>
      <c r="V31" s="1">
        <v>43.674054945843196</v>
      </c>
      <c r="W31" s="1">
        <v>59.656981698050217</v>
      </c>
      <c r="X31" s="1">
        <v>63.815886865997776</v>
      </c>
      <c r="Y31" s="1">
        <v>42.93442965724185</v>
      </c>
      <c r="Z31" s="1">
        <v>12.140956564681256</v>
      </c>
      <c r="AA31" s="1">
        <v>0.70251648152749779</v>
      </c>
      <c r="AB31" s="5">
        <v>1.174145797182325</v>
      </c>
      <c r="AC31" s="5">
        <v>0.57999999999999996</v>
      </c>
      <c r="AD31" s="1">
        <v>30.1</v>
      </c>
      <c r="AE31" s="1">
        <v>30.2</v>
      </c>
      <c r="AF31" s="1">
        <v>30.3</v>
      </c>
    </row>
    <row r="32" spans="1:32" x14ac:dyDescent="0.4">
      <c r="A32">
        <v>2022</v>
      </c>
      <c r="B32" s="4">
        <v>19828563</v>
      </c>
      <c r="C32" s="4">
        <v>189503</v>
      </c>
      <c r="D32" s="1">
        <v>9.5570717857869987</v>
      </c>
      <c r="E32" s="4">
        <v>4986012</v>
      </c>
      <c r="F32" s="1">
        <v>38.006928182282756</v>
      </c>
      <c r="G32" s="4">
        <v>7374</v>
      </c>
      <c r="H32" s="4">
        <v>605608</v>
      </c>
      <c r="I32" s="4">
        <v>31753</v>
      </c>
      <c r="J32" s="4">
        <v>678709</v>
      </c>
      <c r="K32" s="4">
        <v>50770</v>
      </c>
      <c r="L32" s="4">
        <v>785739</v>
      </c>
      <c r="M32" s="4">
        <v>56153</v>
      </c>
      <c r="N32" s="4">
        <v>835861</v>
      </c>
      <c r="O32" s="4">
        <v>33806</v>
      </c>
      <c r="P32" s="4">
        <v>732919</v>
      </c>
      <c r="Q32" s="4">
        <v>9053</v>
      </c>
      <c r="R32" s="4">
        <v>686173</v>
      </c>
      <c r="S32" s="4">
        <v>594</v>
      </c>
      <c r="T32" s="4">
        <v>661003</v>
      </c>
      <c r="U32" s="1">
        <v>12.176193181067621</v>
      </c>
      <c r="V32" s="1">
        <v>46.784409813336794</v>
      </c>
      <c r="W32" s="1">
        <v>64.614331221945193</v>
      </c>
      <c r="X32" s="1">
        <v>67.179830139221707</v>
      </c>
      <c r="Y32" s="1">
        <v>46.125151619756068</v>
      </c>
      <c r="Z32" s="1">
        <v>13.193465787782381</v>
      </c>
      <c r="AA32" s="1">
        <v>0.8986343481043203</v>
      </c>
      <c r="AB32" s="5">
        <v>1.2548600805560703</v>
      </c>
      <c r="AC32" s="5">
        <v>0.62</v>
      </c>
      <c r="AD32" s="1">
        <v>30.1</v>
      </c>
      <c r="AE32" s="1">
        <v>30.3</v>
      </c>
      <c r="AF32" s="1">
        <v>30.4</v>
      </c>
    </row>
    <row r="33" spans="1:32" x14ac:dyDescent="0.4">
      <c r="A33" s="9">
        <v>2023</v>
      </c>
      <c r="B33" s="4">
        <v>19960889</v>
      </c>
      <c r="C33" s="4">
        <v>174067</v>
      </c>
      <c r="D33" s="1">
        <v>8.7204031844473455</v>
      </c>
      <c r="E33" s="4">
        <v>4986632</v>
      </c>
      <c r="F33" s="1">
        <v>34.906726624302735</v>
      </c>
      <c r="G33" s="4">
        <v>6686</v>
      </c>
      <c r="H33" s="4">
        <v>607126</v>
      </c>
      <c r="I33" s="4">
        <v>28793</v>
      </c>
      <c r="J33" s="4">
        <v>659586</v>
      </c>
      <c r="K33" s="4">
        <v>45814</v>
      </c>
      <c r="L33" s="4">
        <v>766871</v>
      </c>
      <c r="M33" s="4">
        <v>51168</v>
      </c>
      <c r="N33" s="4">
        <v>842620</v>
      </c>
      <c r="O33" s="4">
        <v>32075</v>
      </c>
      <c r="P33" s="4">
        <v>747993</v>
      </c>
      <c r="Q33" s="4">
        <v>8886</v>
      </c>
      <c r="R33" s="4">
        <v>695661</v>
      </c>
      <c r="S33">
        <v>645</v>
      </c>
      <c r="T33" s="4">
        <v>666775</v>
      </c>
      <c r="U33" s="1">
        <v>11.01254105408103</v>
      </c>
      <c r="V33" s="1">
        <v>43.653139999939356</v>
      </c>
      <c r="W33" s="1">
        <v>59.74146890415728</v>
      </c>
      <c r="X33" s="1">
        <v>60.72488191592889</v>
      </c>
      <c r="Y33" s="1">
        <v>42.881417339467077</v>
      </c>
      <c r="Z33" s="1">
        <v>12.773462936688992</v>
      </c>
      <c r="AA33" s="1">
        <v>0.96734280679389595</v>
      </c>
      <c r="AB33" s="5">
        <v>1.1587712747852825</v>
      </c>
      <c r="AC33" s="5">
        <v>0.56999999999999995</v>
      </c>
      <c r="AD33" s="1">
        <v>30.2</v>
      </c>
      <c r="AE33" s="1">
        <v>30.4</v>
      </c>
      <c r="AF33" s="1">
        <v>30.6</v>
      </c>
    </row>
    <row r="34" spans="1:32" x14ac:dyDescent="0.4">
      <c r="A34" s="39">
        <v>2024</v>
      </c>
      <c r="B34" s="4">
        <v>20086377</v>
      </c>
      <c r="C34" s="4">
        <v>154441</v>
      </c>
      <c r="D34" s="1">
        <v>7.7</v>
      </c>
      <c r="E34" s="4">
        <v>4986288</v>
      </c>
      <c r="F34" s="1">
        <v>31</v>
      </c>
      <c r="G34" s="4">
        <v>5695</v>
      </c>
      <c r="H34" s="4">
        <v>614278</v>
      </c>
      <c r="I34" s="4">
        <v>24724</v>
      </c>
      <c r="J34" s="4">
        <v>641616</v>
      </c>
      <c r="K34" s="4">
        <v>39893</v>
      </c>
      <c r="L34" s="4">
        <v>746460</v>
      </c>
      <c r="M34" s="4">
        <v>45751</v>
      </c>
      <c r="N34" s="4">
        <v>838059</v>
      </c>
      <c r="O34" s="4">
        <v>29856</v>
      </c>
      <c r="P34" s="4">
        <v>770683</v>
      </c>
      <c r="Q34" s="4">
        <v>7973</v>
      </c>
      <c r="R34" s="4">
        <v>705304</v>
      </c>
      <c r="S34">
        <v>549</v>
      </c>
      <c r="T34" s="4">
        <v>669888</v>
      </c>
      <c r="U34" s="1">
        <v>9.3000000000000007</v>
      </c>
      <c r="V34" s="1">
        <v>38.5</v>
      </c>
      <c r="W34" s="1">
        <v>53.4</v>
      </c>
      <c r="X34" s="1">
        <v>54.6</v>
      </c>
      <c r="Y34" s="1">
        <v>38.700000000000003</v>
      </c>
      <c r="Z34" s="1">
        <v>11.3</v>
      </c>
      <c r="AA34" s="1">
        <v>0.8</v>
      </c>
      <c r="AB34" s="5">
        <v>1.03</v>
      </c>
      <c r="AC34" s="5">
        <v>0.51</v>
      </c>
      <c r="AD34" s="1">
        <v>30.2</v>
      </c>
      <c r="AE34" s="1">
        <v>30.6</v>
      </c>
      <c r="AF34" s="1">
        <v>30.8</v>
      </c>
    </row>
    <row r="35" spans="1:32" x14ac:dyDescent="0.4">
      <c r="A35" s="9"/>
      <c r="B35" s="4"/>
      <c r="C35" s="4"/>
      <c r="D35" s="1"/>
      <c r="E35" s="4"/>
      <c r="F35" s="1"/>
      <c r="G35" s="4"/>
      <c r="H35" s="4"/>
      <c r="I35" s="4"/>
      <c r="J35" s="4"/>
      <c r="K35" s="4"/>
      <c r="L35" s="4"/>
      <c r="M35" s="4"/>
      <c r="N35" s="4"/>
      <c r="O35" s="4"/>
      <c r="P35" s="4"/>
      <c r="Q35" s="4"/>
      <c r="R35" s="4"/>
      <c r="T35" s="4"/>
      <c r="U35" s="1"/>
      <c r="V35" s="1"/>
      <c r="W35" s="1"/>
      <c r="X35" s="1"/>
      <c r="Y35" s="1"/>
      <c r="Z35" s="1"/>
      <c r="AA35" s="1"/>
      <c r="AB35" s="5"/>
      <c r="AC35" s="5"/>
      <c r="AD35" s="1"/>
      <c r="AE35" s="1"/>
      <c r="AF35" s="1"/>
    </row>
    <row r="36" spans="1:32" x14ac:dyDescent="0.4">
      <c r="A36" s="25" t="s">
        <v>80</v>
      </c>
      <c r="B36" s="4"/>
      <c r="C36" s="4"/>
      <c r="D36" s="4"/>
      <c r="E36" s="4"/>
      <c r="F36" s="4"/>
      <c r="G36" s="1"/>
      <c r="H36" s="9"/>
      <c r="I36" s="9"/>
      <c r="J36" s="9"/>
      <c r="K36" s="9"/>
      <c r="L36" s="9"/>
      <c r="M36" s="9"/>
      <c r="N36" s="9"/>
      <c r="O36" s="9"/>
      <c r="P36" s="9"/>
      <c r="Q36" s="9"/>
      <c r="R36" s="4"/>
    </row>
    <row r="37" spans="1:32" x14ac:dyDescent="0.4">
      <c r="A37" t="s">
        <v>81</v>
      </c>
      <c r="C37" s="4"/>
    </row>
    <row r="38" spans="1:32" x14ac:dyDescent="0.4">
      <c r="A38" t="s">
        <v>49</v>
      </c>
      <c r="C38" s="4"/>
    </row>
    <row r="39" spans="1:32" x14ac:dyDescent="0.4">
      <c r="A39" t="s">
        <v>82</v>
      </c>
      <c r="C39" s="4"/>
    </row>
    <row r="40" spans="1:32" x14ac:dyDescent="0.4">
      <c r="A40" t="s">
        <v>83</v>
      </c>
      <c r="C40" s="4"/>
    </row>
    <row r="41" spans="1:32" x14ac:dyDescent="0.4">
      <c r="A41" t="s">
        <v>84</v>
      </c>
      <c r="C41" s="4"/>
    </row>
    <row r="42" spans="1:32" x14ac:dyDescent="0.4">
      <c r="A42" t="s">
        <v>85</v>
      </c>
      <c r="C42" s="4"/>
    </row>
    <row r="43" spans="1:32" x14ac:dyDescent="0.4">
      <c r="A43" t="s">
        <v>86</v>
      </c>
      <c r="C43" s="4"/>
    </row>
    <row r="44" spans="1:32" x14ac:dyDescent="0.4">
      <c r="A44" t="s">
        <v>87</v>
      </c>
      <c r="C44" s="4"/>
    </row>
    <row r="45" spans="1:32" x14ac:dyDescent="0.4">
      <c r="A45" t="s">
        <v>88</v>
      </c>
    </row>
    <row r="46" spans="1:32" x14ac:dyDescent="0.4">
      <c r="A46" t="s">
        <v>89</v>
      </c>
    </row>
    <row r="47" spans="1:32" x14ac:dyDescent="0.4">
      <c r="A47" t="s">
        <v>90</v>
      </c>
    </row>
    <row r="51" spans="1:1" x14ac:dyDescent="0.4">
      <c r="A51" s="6"/>
    </row>
    <row r="56" spans="1:1" x14ac:dyDescent="0.4">
      <c r="A56" s="6"/>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1"/>
  <sheetViews>
    <sheetView workbookViewId="0">
      <selection activeCell="M18" sqref="M18"/>
    </sheetView>
  </sheetViews>
  <sheetFormatPr defaultColWidth="11.42578125" defaultRowHeight="13.15" x14ac:dyDescent="0.4"/>
  <cols>
    <col min="5" max="5" width="13.42578125" customWidth="1"/>
    <col min="7" max="7" width="13.140625" bestFit="1" customWidth="1"/>
    <col min="8" max="8" width="11.85546875" bestFit="1" customWidth="1"/>
  </cols>
  <sheetData>
    <row r="1" spans="1:10" s="23" customFormat="1" ht="52.5" x14ac:dyDescent="0.4">
      <c r="A1" s="24" t="s">
        <v>28</v>
      </c>
      <c r="B1" s="3" t="s">
        <v>91</v>
      </c>
      <c r="C1" s="3" t="s">
        <v>92</v>
      </c>
      <c r="D1" s="3" t="s">
        <v>93</v>
      </c>
      <c r="E1" s="3" t="s">
        <v>94</v>
      </c>
      <c r="F1" s="3" t="s">
        <v>95</v>
      </c>
      <c r="G1" s="3" t="s">
        <v>96</v>
      </c>
      <c r="H1" s="3" t="s">
        <v>97</v>
      </c>
      <c r="I1" s="3" t="s">
        <v>98</v>
      </c>
      <c r="J1" s="3" t="s">
        <v>99</v>
      </c>
    </row>
    <row r="2" spans="1:10" x14ac:dyDescent="0.4">
      <c r="A2">
        <v>1992</v>
      </c>
      <c r="B2" s="4">
        <v>74090</v>
      </c>
      <c r="C2" s="4">
        <v>40267</v>
      </c>
      <c r="D2" s="4">
        <v>33823</v>
      </c>
      <c r="E2" s="4">
        <v>0</v>
      </c>
      <c r="F2" s="1">
        <v>119.05212429411938</v>
      </c>
      <c r="G2" s="4">
        <v>2254</v>
      </c>
      <c r="H2" s="4">
        <v>4209</v>
      </c>
      <c r="I2" s="4">
        <v>854</v>
      </c>
      <c r="J2" s="4">
        <v>1667</v>
      </c>
    </row>
    <row r="3" spans="1:10" x14ac:dyDescent="0.4">
      <c r="A3">
        <v>1993</v>
      </c>
      <c r="B3" s="4">
        <v>76261</v>
      </c>
      <c r="C3" s="4">
        <v>41703</v>
      </c>
      <c r="D3" s="4">
        <v>34558</v>
      </c>
      <c r="E3" s="4">
        <v>0</v>
      </c>
      <c r="F3" s="1">
        <v>120.67538630707794</v>
      </c>
      <c r="G3" s="4">
        <v>2007</v>
      </c>
      <c r="H3" s="4">
        <v>3792</v>
      </c>
      <c r="I3" s="4">
        <v>723</v>
      </c>
      <c r="J3" s="4">
        <v>1535</v>
      </c>
    </row>
    <row r="4" spans="1:10" x14ac:dyDescent="0.4">
      <c r="A4">
        <v>1994</v>
      </c>
      <c r="B4" s="4">
        <v>75445</v>
      </c>
      <c r="C4" s="4">
        <v>41463</v>
      </c>
      <c r="D4" s="4">
        <v>33982</v>
      </c>
      <c r="E4" s="4">
        <v>0</v>
      </c>
      <c r="F4" s="1">
        <v>122.01459596256842</v>
      </c>
      <c r="G4" s="4">
        <v>1971</v>
      </c>
      <c r="H4" s="4">
        <v>3455</v>
      </c>
      <c r="I4" s="4">
        <v>657</v>
      </c>
      <c r="J4" s="4">
        <v>1321</v>
      </c>
    </row>
    <row r="5" spans="1:10" x14ac:dyDescent="0.4">
      <c r="A5">
        <v>1995</v>
      </c>
      <c r="B5" s="4">
        <v>78531</v>
      </c>
      <c r="C5" s="4">
        <v>43418</v>
      </c>
      <c r="D5" s="4">
        <v>35113</v>
      </c>
      <c r="E5" s="4">
        <v>0</v>
      </c>
      <c r="F5" s="1">
        <v>123.65220858371543</v>
      </c>
      <c r="G5" s="4">
        <v>1695</v>
      </c>
      <c r="H5" s="4">
        <v>3107</v>
      </c>
      <c r="I5" s="4">
        <v>756</v>
      </c>
      <c r="J5" s="4">
        <v>1277</v>
      </c>
    </row>
    <row r="6" spans="1:10" x14ac:dyDescent="0.4">
      <c r="A6">
        <v>1996</v>
      </c>
      <c r="B6" s="4">
        <v>79123</v>
      </c>
      <c r="C6" s="4">
        <v>43799</v>
      </c>
      <c r="D6" s="4">
        <v>35324</v>
      </c>
      <c r="E6" s="4">
        <v>0</v>
      </c>
      <c r="F6" s="1">
        <v>123.99218661533236</v>
      </c>
      <c r="G6" s="4">
        <v>1743</v>
      </c>
      <c r="H6" s="4">
        <v>3095</v>
      </c>
      <c r="I6" s="4">
        <v>566</v>
      </c>
      <c r="J6" s="4">
        <v>1244</v>
      </c>
    </row>
    <row r="7" spans="1:10" x14ac:dyDescent="0.4">
      <c r="A7">
        <v>1997</v>
      </c>
      <c r="B7" s="4">
        <v>78472</v>
      </c>
      <c r="C7" s="4">
        <v>43284</v>
      </c>
      <c r="D7" s="4">
        <v>35188</v>
      </c>
      <c r="E7" s="4">
        <v>0</v>
      </c>
      <c r="F7" s="1">
        <v>123.00784358303967</v>
      </c>
      <c r="G7" s="4">
        <v>1569</v>
      </c>
      <c r="H7" s="4">
        <v>2732</v>
      </c>
      <c r="I7" s="4">
        <v>529</v>
      </c>
      <c r="J7" s="4">
        <v>1240</v>
      </c>
    </row>
    <row r="8" spans="1:10" x14ac:dyDescent="0.4">
      <c r="A8">
        <v>1998</v>
      </c>
      <c r="B8" s="4">
        <v>80257</v>
      </c>
      <c r="C8" s="4">
        <v>43695</v>
      </c>
      <c r="D8" s="4">
        <v>36562</v>
      </c>
      <c r="E8" s="4">
        <v>0</v>
      </c>
      <c r="F8" s="1">
        <v>119.50932662327006</v>
      </c>
      <c r="G8" s="4">
        <v>1614</v>
      </c>
      <c r="H8" s="4">
        <v>2793</v>
      </c>
      <c r="I8" s="4">
        <v>589</v>
      </c>
      <c r="J8" s="4">
        <v>1161</v>
      </c>
    </row>
    <row r="9" spans="1:10" x14ac:dyDescent="0.4">
      <c r="A9">
        <v>1999</v>
      </c>
      <c r="B9" s="4">
        <v>81984</v>
      </c>
      <c r="C9" s="4">
        <v>44424</v>
      </c>
      <c r="D9" s="4">
        <v>37560</v>
      </c>
      <c r="E9" s="4">
        <v>0</v>
      </c>
      <c r="F9" s="1">
        <v>118.27476038338658</v>
      </c>
      <c r="G9" s="4">
        <v>1547</v>
      </c>
      <c r="H9" s="4">
        <v>2654</v>
      </c>
      <c r="I9" s="4">
        <v>461</v>
      </c>
      <c r="J9" s="4">
        <v>1080</v>
      </c>
    </row>
    <row r="10" spans="1:10" x14ac:dyDescent="0.4">
      <c r="A10">
        <v>2000</v>
      </c>
      <c r="B10" s="4">
        <v>78814</v>
      </c>
      <c r="C10" s="4">
        <v>42970</v>
      </c>
      <c r="D10" s="4">
        <v>35844</v>
      </c>
      <c r="E10" s="4">
        <v>0</v>
      </c>
      <c r="F10" s="1">
        <v>119.88059368374064</v>
      </c>
      <c r="G10" s="4">
        <v>1467</v>
      </c>
      <c r="H10" s="4">
        <v>2336</v>
      </c>
      <c r="I10" s="4">
        <v>441</v>
      </c>
      <c r="J10" s="4">
        <v>1116</v>
      </c>
    </row>
    <row r="11" spans="1:10" x14ac:dyDescent="0.4">
      <c r="A11">
        <v>2001</v>
      </c>
      <c r="B11" s="4">
        <v>81873</v>
      </c>
      <c r="C11" s="4">
        <v>44617</v>
      </c>
      <c r="D11" s="4">
        <v>37256</v>
      </c>
      <c r="E11" s="4">
        <v>0</v>
      </c>
      <c r="F11" s="1">
        <v>119.75789134636032</v>
      </c>
      <c r="G11" s="4">
        <v>1290</v>
      </c>
      <c r="H11" s="4">
        <v>2159</v>
      </c>
      <c r="I11" s="4">
        <v>491</v>
      </c>
      <c r="J11" s="4">
        <v>1278</v>
      </c>
    </row>
    <row r="12" spans="1:10" x14ac:dyDescent="0.4">
      <c r="A12">
        <v>2002</v>
      </c>
      <c r="B12" s="4">
        <v>81079</v>
      </c>
      <c r="C12" s="4">
        <v>44345</v>
      </c>
      <c r="D12" s="4">
        <v>36734</v>
      </c>
      <c r="E12" s="4">
        <v>0</v>
      </c>
      <c r="F12" s="1">
        <v>120.7192246964665</v>
      </c>
      <c r="G12" s="4">
        <v>1249</v>
      </c>
      <c r="H12" s="4">
        <v>1964</v>
      </c>
      <c r="I12" s="4">
        <v>449</v>
      </c>
      <c r="J12" s="4">
        <v>1197</v>
      </c>
    </row>
    <row r="13" spans="1:10" x14ac:dyDescent="0.4">
      <c r="A13">
        <v>2003</v>
      </c>
      <c r="B13" s="4">
        <v>83672</v>
      </c>
      <c r="C13" s="4">
        <v>45482</v>
      </c>
      <c r="D13" s="4">
        <v>38190</v>
      </c>
      <c r="E13" s="4">
        <v>0</v>
      </c>
      <c r="F13" s="1">
        <v>119.09400366588112</v>
      </c>
      <c r="G13" s="4">
        <v>1212</v>
      </c>
      <c r="H13" s="4">
        <v>1935</v>
      </c>
      <c r="I13" s="4">
        <v>396</v>
      </c>
      <c r="J13" s="4">
        <v>1404</v>
      </c>
    </row>
    <row r="14" spans="1:10" x14ac:dyDescent="0.4">
      <c r="A14">
        <v>2004</v>
      </c>
      <c r="B14" s="4">
        <v>86138</v>
      </c>
      <c r="C14" s="4">
        <v>46549</v>
      </c>
      <c r="D14" s="4">
        <v>39589</v>
      </c>
      <c r="E14" s="4">
        <v>0</v>
      </c>
      <c r="F14" s="1">
        <v>117.58064108717068</v>
      </c>
      <c r="G14" s="4">
        <v>1305</v>
      </c>
      <c r="H14" s="4">
        <v>2034</v>
      </c>
      <c r="I14" s="4">
        <v>388</v>
      </c>
      <c r="J14" s="4">
        <v>1510</v>
      </c>
    </row>
    <row r="15" spans="1:10" x14ac:dyDescent="0.4">
      <c r="A15">
        <v>2005</v>
      </c>
      <c r="B15" s="4">
        <v>86102</v>
      </c>
      <c r="C15" s="4">
        <v>46369</v>
      </c>
      <c r="D15" s="4">
        <v>39733</v>
      </c>
      <c r="E15" s="4">
        <v>0</v>
      </c>
      <c r="F15" s="1">
        <v>116.70148239498654</v>
      </c>
      <c r="G15" s="4">
        <v>1254</v>
      </c>
      <c r="H15" s="4">
        <v>1911</v>
      </c>
      <c r="I15" s="4">
        <v>339</v>
      </c>
      <c r="J15" s="4">
        <v>1841</v>
      </c>
    </row>
    <row r="16" spans="1:10" x14ac:dyDescent="0.4">
      <c r="A16">
        <v>2006</v>
      </c>
      <c r="B16" s="4">
        <v>85639</v>
      </c>
      <c r="C16" s="4">
        <v>45987</v>
      </c>
      <c r="D16" s="4">
        <v>39652</v>
      </c>
      <c r="E16" s="4">
        <v>0</v>
      </c>
      <c r="F16" s="1">
        <v>115.97649551094523</v>
      </c>
      <c r="G16" s="4">
        <v>1249</v>
      </c>
      <c r="H16" s="4">
        <v>1839</v>
      </c>
      <c r="I16" s="4">
        <v>347</v>
      </c>
      <c r="J16" s="4">
        <v>2124</v>
      </c>
    </row>
    <row r="17" spans="1:10" x14ac:dyDescent="0.4">
      <c r="A17">
        <v>2007</v>
      </c>
      <c r="B17" s="4">
        <v>93000</v>
      </c>
      <c r="C17" s="4">
        <v>49753</v>
      </c>
      <c r="D17" s="4">
        <v>43247</v>
      </c>
      <c r="E17" s="4">
        <v>0</v>
      </c>
      <c r="F17" s="1">
        <v>115.04381806830533</v>
      </c>
      <c r="G17" s="4">
        <v>1356</v>
      </c>
      <c r="H17" s="4">
        <v>2009</v>
      </c>
      <c r="I17" s="4">
        <v>309</v>
      </c>
      <c r="J17" s="4">
        <v>2165</v>
      </c>
    </row>
    <row r="18" spans="1:10" x14ac:dyDescent="0.4">
      <c r="A18">
        <v>2008</v>
      </c>
      <c r="B18" s="4">
        <v>90168</v>
      </c>
      <c r="C18" s="4">
        <v>48588</v>
      </c>
      <c r="D18" s="4">
        <v>41580</v>
      </c>
      <c r="E18" s="4">
        <v>0</v>
      </c>
      <c r="F18" s="1">
        <v>116.85425685425686</v>
      </c>
      <c r="G18" s="4">
        <v>1369</v>
      </c>
      <c r="H18" s="4">
        <v>1948</v>
      </c>
      <c r="I18" s="4">
        <v>304</v>
      </c>
      <c r="J18" s="4">
        <v>2167</v>
      </c>
    </row>
    <row r="19" spans="1:10" x14ac:dyDescent="0.4">
      <c r="A19">
        <v>2009</v>
      </c>
      <c r="B19" s="4">
        <v>91965</v>
      </c>
      <c r="C19" s="4">
        <v>49608</v>
      </c>
      <c r="D19" s="4">
        <v>42357</v>
      </c>
      <c r="E19" s="4">
        <v>0</v>
      </c>
      <c r="F19" s="1">
        <v>117.11877611728876</v>
      </c>
      <c r="G19" s="4">
        <v>1359</v>
      </c>
      <c r="H19" s="4">
        <v>1997</v>
      </c>
      <c r="I19" s="4">
        <v>318</v>
      </c>
      <c r="J19" s="4">
        <v>2252</v>
      </c>
    </row>
    <row r="20" spans="1:10" x14ac:dyDescent="0.4">
      <c r="A20">
        <v>2010</v>
      </c>
      <c r="B20" s="4">
        <v>97930</v>
      </c>
      <c r="C20" s="4">
        <v>52237</v>
      </c>
      <c r="D20" s="4">
        <v>45693</v>
      </c>
      <c r="E20" s="4">
        <v>0</v>
      </c>
      <c r="F20" s="1">
        <v>114.32166852690784</v>
      </c>
      <c r="G20" s="4">
        <v>1283</v>
      </c>
      <c r="H20" s="4">
        <v>1862</v>
      </c>
      <c r="I20" s="4">
        <v>312</v>
      </c>
      <c r="J20" s="4">
        <v>2166</v>
      </c>
    </row>
    <row r="21" spans="1:10" x14ac:dyDescent="0.4">
      <c r="A21">
        <v>2011</v>
      </c>
      <c r="B21" s="4">
        <v>94985</v>
      </c>
      <c r="C21" s="4">
        <v>50539</v>
      </c>
      <c r="D21" s="4">
        <v>44446</v>
      </c>
      <c r="E21" s="4">
        <v>0</v>
      </c>
      <c r="F21" s="1">
        <v>113.70877019304324</v>
      </c>
      <c r="G21" s="4">
        <v>1346</v>
      </c>
      <c r="H21" s="4">
        <v>1908</v>
      </c>
      <c r="I21" s="4">
        <v>280</v>
      </c>
      <c r="J21" s="4">
        <v>2098</v>
      </c>
    </row>
    <row r="22" spans="1:10" x14ac:dyDescent="0.4">
      <c r="A22">
        <v>2012</v>
      </c>
      <c r="B22" s="4">
        <v>98711</v>
      </c>
      <c r="C22" s="4">
        <v>51814</v>
      </c>
      <c r="D22" s="4">
        <v>46897</v>
      </c>
      <c r="E22" s="4">
        <v>0</v>
      </c>
      <c r="F22" s="1">
        <v>110.48467919056657</v>
      </c>
      <c r="G22" s="4">
        <v>1307</v>
      </c>
      <c r="H22" s="4">
        <v>1812</v>
      </c>
      <c r="I22" s="4">
        <v>296</v>
      </c>
      <c r="J22" s="4">
        <v>2064</v>
      </c>
    </row>
    <row r="23" spans="1:10" x14ac:dyDescent="0.4">
      <c r="A23">
        <v>2013</v>
      </c>
      <c r="B23" s="4">
        <v>99770</v>
      </c>
      <c r="C23" s="4">
        <v>52917</v>
      </c>
      <c r="D23" s="4">
        <v>46835</v>
      </c>
      <c r="E23" s="4">
        <v>18</v>
      </c>
      <c r="F23" s="1">
        <v>112.98601473257179</v>
      </c>
      <c r="G23" s="4">
        <v>1253</v>
      </c>
      <c r="H23" s="4">
        <v>1692</v>
      </c>
      <c r="I23" s="4">
        <v>285</v>
      </c>
      <c r="J23" s="4">
        <v>2090</v>
      </c>
    </row>
    <row r="24" spans="1:10" x14ac:dyDescent="0.4">
      <c r="A24">
        <v>2014</v>
      </c>
      <c r="B24" s="4">
        <v>101960</v>
      </c>
      <c r="C24" s="4">
        <v>53975</v>
      </c>
      <c r="D24" s="4">
        <v>47968</v>
      </c>
      <c r="E24" s="4">
        <v>17</v>
      </c>
      <c r="F24" s="1">
        <v>112.52293195463643</v>
      </c>
      <c r="G24" s="4">
        <v>1311</v>
      </c>
      <c r="H24" s="4">
        <v>1825</v>
      </c>
      <c r="I24" s="4">
        <v>283</v>
      </c>
      <c r="J24" s="4">
        <v>2154</v>
      </c>
    </row>
    <row r="25" spans="1:10" x14ac:dyDescent="0.4">
      <c r="A25">
        <v>2015</v>
      </c>
      <c r="B25" s="4">
        <v>103327</v>
      </c>
      <c r="C25" s="4">
        <v>54693</v>
      </c>
      <c r="D25" s="4">
        <v>48615</v>
      </c>
      <c r="E25" s="4">
        <v>19</v>
      </c>
      <c r="F25" s="1">
        <v>112.50231410058625</v>
      </c>
      <c r="G25" s="4">
        <v>1250</v>
      </c>
      <c r="H25" s="4">
        <v>1683</v>
      </c>
      <c r="I25" s="4">
        <v>254</v>
      </c>
      <c r="J25" s="4">
        <v>2028</v>
      </c>
    </row>
    <row r="26" spans="1:10" x14ac:dyDescent="0.4">
      <c r="A26">
        <v>2016</v>
      </c>
      <c r="B26" s="4">
        <v>104026</v>
      </c>
      <c r="C26" s="4">
        <v>54761</v>
      </c>
      <c r="D26" s="4">
        <v>49239</v>
      </c>
      <c r="E26" s="4">
        <v>26</v>
      </c>
      <c r="F26" s="1">
        <v>111.21468754442616</v>
      </c>
      <c r="G26" s="4">
        <v>1213</v>
      </c>
      <c r="H26" s="4">
        <v>1629</v>
      </c>
      <c r="I26" s="4">
        <v>250</v>
      </c>
      <c r="J26" s="4">
        <v>1992</v>
      </c>
    </row>
    <row r="27" spans="1:10" x14ac:dyDescent="0.4">
      <c r="A27">
        <v>2017</v>
      </c>
      <c r="B27" s="4">
        <v>106388</v>
      </c>
      <c r="C27" s="4">
        <v>55773</v>
      </c>
      <c r="D27" s="4">
        <v>50593</v>
      </c>
      <c r="E27" s="4">
        <v>22</v>
      </c>
      <c r="F27" s="1">
        <v>110.23857055323857</v>
      </c>
      <c r="G27" s="4">
        <v>1202</v>
      </c>
      <c r="H27" s="4">
        <v>1557</v>
      </c>
      <c r="I27" s="4">
        <v>223</v>
      </c>
      <c r="J27" s="4">
        <v>1806</v>
      </c>
    </row>
    <row r="28" spans="1:10" x14ac:dyDescent="0.4">
      <c r="A28">
        <v>2018</v>
      </c>
      <c r="B28" s="4">
        <v>106796</v>
      </c>
      <c r="C28" s="4">
        <v>56093</v>
      </c>
      <c r="D28" s="4">
        <v>50684</v>
      </c>
      <c r="E28" s="4">
        <v>19</v>
      </c>
      <c r="F28" s="1">
        <v>110.6720069449925</v>
      </c>
      <c r="G28" s="4">
        <v>1106</v>
      </c>
      <c r="H28" s="4">
        <v>1473</v>
      </c>
      <c r="I28" s="4">
        <v>258</v>
      </c>
      <c r="J28" s="4">
        <v>2006</v>
      </c>
    </row>
    <row r="29" spans="1:10" x14ac:dyDescent="0.4">
      <c r="A29">
        <v>2019</v>
      </c>
      <c r="B29" s="4">
        <v>109658</v>
      </c>
      <c r="C29" s="4">
        <v>57632</v>
      </c>
      <c r="D29" s="4">
        <v>52010</v>
      </c>
      <c r="E29" s="4">
        <v>16</v>
      </c>
      <c r="F29" s="1">
        <v>110.80945971928475</v>
      </c>
      <c r="G29" s="4">
        <v>1007</v>
      </c>
      <c r="H29" s="4">
        <v>1371</v>
      </c>
      <c r="I29" s="4">
        <v>257</v>
      </c>
      <c r="J29" s="4">
        <v>1910</v>
      </c>
    </row>
    <row r="30" spans="1:10" x14ac:dyDescent="0.4">
      <c r="A30">
        <v>2020</v>
      </c>
      <c r="B30" s="4">
        <v>126169</v>
      </c>
      <c r="C30" s="4">
        <v>67636</v>
      </c>
      <c r="D30" s="4">
        <v>58519</v>
      </c>
      <c r="E30" s="4">
        <v>14</v>
      </c>
      <c r="F30" s="1">
        <v>115.57955535808884</v>
      </c>
      <c r="G30" s="4">
        <v>832</v>
      </c>
      <c r="H30" s="4">
        <v>1088</v>
      </c>
      <c r="I30" s="4">
        <v>216</v>
      </c>
      <c r="J30" s="4">
        <v>1614</v>
      </c>
    </row>
    <row r="31" spans="1:10" x14ac:dyDescent="0.4">
      <c r="A31">
        <v>2021</v>
      </c>
      <c r="B31" s="4">
        <v>137629</v>
      </c>
      <c r="C31" s="4">
        <v>73435</v>
      </c>
      <c r="D31" s="4">
        <v>64182</v>
      </c>
      <c r="E31" s="4">
        <v>12</v>
      </c>
      <c r="F31" s="1">
        <v>114.41681468324451</v>
      </c>
      <c r="G31" s="4">
        <v>788</v>
      </c>
      <c r="H31" s="4">
        <v>1028</v>
      </c>
      <c r="I31" s="4">
        <v>212</v>
      </c>
      <c r="J31" s="4">
        <v>1829</v>
      </c>
    </row>
    <row r="32" spans="1:10" x14ac:dyDescent="0.4">
      <c r="A32">
        <v>2022</v>
      </c>
      <c r="B32" s="4">
        <v>136972</v>
      </c>
      <c r="C32" s="4">
        <v>71687</v>
      </c>
      <c r="D32" s="4">
        <v>65278</v>
      </c>
      <c r="E32" s="4">
        <v>7</v>
      </c>
      <c r="F32" s="1">
        <v>109.81800913018169</v>
      </c>
      <c r="G32" s="4">
        <v>852</v>
      </c>
      <c r="H32" s="4">
        <v>1110</v>
      </c>
      <c r="I32" s="4">
        <v>210</v>
      </c>
      <c r="J32" s="4">
        <v>1979</v>
      </c>
    </row>
    <row r="33" spans="1:18" ht="14.65" x14ac:dyDescent="0.4">
      <c r="A33" s="9" t="s">
        <v>45</v>
      </c>
      <c r="B33" s="4">
        <v>121975</v>
      </c>
      <c r="C33" s="4">
        <v>63562</v>
      </c>
      <c r="D33" s="4">
        <v>58401</v>
      </c>
      <c r="E33" s="4">
        <v>12</v>
      </c>
      <c r="F33" s="1">
        <v>108.83717744559169</v>
      </c>
      <c r="G33" s="4"/>
      <c r="H33" s="4">
        <v>1147</v>
      </c>
      <c r="I33" s="4">
        <v>208</v>
      </c>
      <c r="J33" s="4"/>
    </row>
    <row r="34" spans="1:18" ht="14.65" x14ac:dyDescent="0.4">
      <c r="A34" s="39" t="s">
        <v>46</v>
      </c>
      <c r="B34" s="4">
        <v>126883</v>
      </c>
      <c r="C34" s="4">
        <v>65798</v>
      </c>
      <c r="D34" s="4">
        <v>61082</v>
      </c>
      <c r="E34" s="4">
        <v>3</v>
      </c>
      <c r="F34" s="1">
        <v>107.7</v>
      </c>
      <c r="G34" s="4"/>
      <c r="H34" s="4">
        <v>960</v>
      </c>
      <c r="I34" s="4">
        <v>196</v>
      </c>
      <c r="J34" s="4"/>
    </row>
    <row r="35" spans="1:18" x14ac:dyDescent="0.4">
      <c r="A35" s="9"/>
      <c r="B35" s="4"/>
      <c r="C35" s="4"/>
      <c r="D35" s="4"/>
      <c r="E35" s="4"/>
      <c r="F35" s="1"/>
      <c r="G35" s="4"/>
      <c r="H35" s="4"/>
      <c r="I35" s="4"/>
      <c r="J35" s="4"/>
    </row>
    <row r="36" spans="1:18" x14ac:dyDescent="0.4">
      <c r="A36" s="25" t="s">
        <v>47</v>
      </c>
      <c r="B36" s="4"/>
      <c r="C36" s="4"/>
      <c r="D36" s="4"/>
      <c r="E36" s="4"/>
      <c r="F36" s="4"/>
      <c r="G36" s="1"/>
      <c r="H36" s="9"/>
      <c r="I36" s="9"/>
      <c r="J36" s="9"/>
      <c r="K36" s="9"/>
      <c r="L36" s="9"/>
      <c r="M36" s="9"/>
      <c r="N36" s="9"/>
      <c r="O36" s="9"/>
      <c r="P36" s="9"/>
      <c r="Q36" s="9"/>
      <c r="R36" s="4"/>
    </row>
    <row r="37" spans="1:18" x14ac:dyDescent="0.4">
      <c r="A37" t="s">
        <v>81</v>
      </c>
    </row>
    <row r="38" spans="1:18" x14ac:dyDescent="0.4">
      <c r="A38" t="s">
        <v>100</v>
      </c>
    </row>
    <row r="41" spans="1:18" x14ac:dyDescent="0.4">
      <c r="A41"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43"/>
  <sheetViews>
    <sheetView workbookViewId="0">
      <selection activeCell="K28" sqref="K28"/>
    </sheetView>
  </sheetViews>
  <sheetFormatPr defaultColWidth="11.42578125" defaultRowHeight="13.15" x14ac:dyDescent="0.4"/>
  <sheetData>
    <row r="1" spans="1:9" ht="39.4" x14ac:dyDescent="0.4">
      <c r="A1" s="8" t="s">
        <v>28</v>
      </c>
      <c r="B1" s="3" t="s">
        <v>101</v>
      </c>
      <c r="C1" s="3" t="s">
        <v>102</v>
      </c>
      <c r="D1" s="3" t="s">
        <v>103</v>
      </c>
      <c r="E1" s="3" t="s">
        <v>104</v>
      </c>
      <c r="F1" s="3" t="s">
        <v>105</v>
      </c>
      <c r="G1" s="3" t="s">
        <v>106</v>
      </c>
      <c r="H1" s="3" t="s">
        <v>107</v>
      </c>
      <c r="I1" s="3" t="s">
        <v>108</v>
      </c>
    </row>
    <row r="2" spans="1:9" x14ac:dyDescent="0.4">
      <c r="A2">
        <v>1992</v>
      </c>
      <c r="B2" s="1">
        <v>5.3934385678684418</v>
      </c>
      <c r="C2" s="1">
        <v>14.305718888715171</v>
      </c>
      <c r="D2" s="1">
        <v>7.6609860715523865</v>
      </c>
      <c r="E2" s="1">
        <v>5.6658668062457096</v>
      </c>
      <c r="F2" s="1">
        <v>21.4</v>
      </c>
      <c r="G2" s="5">
        <v>73.98</v>
      </c>
      <c r="H2" s="5">
        <v>70.91</v>
      </c>
      <c r="I2" s="5">
        <v>76.97</v>
      </c>
    </row>
    <row r="3" spans="1:9" x14ac:dyDescent="0.4">
      <c r="A3">
        <v>1993</v>
      </c>
      <c r="B3" s="1">
        <v>5.4640881705690276</v>
      </c>
      <c r="C3" s="1">
        <v>13.102111471603454</v>
      </c>
      <c r="D3" s="1">
        <v>6.9345827329926513</v>
      </c>
      <c r="E3" s="1">
        <v>5.3037291953880015</v>
      </c>
      <c r="F3" s="1">
        <v>19.5</v>
      </c>
      <c r="G3" s="5">
        <v>74.09</v>
      </c>
      <c r="H3" s="5">
        <v>70.92</v>
      </c>
      <c r="I3" s="5">
        <v>77.180000000000007</v>
      </c>
    </row>
    <row r="4" spans="1:9" x14ac:dyDescent="0.4">
      <c r="A4">
        <v>1994</v>
      </c>
      <c r="B4" s="1">
        <v>5.3235925009213707</v>
      </c>
      <c r="C4" s="1">
        <v>12.109610557168301</v>
      </c>
      <c r="D4" s="1">
        <v>6.9102612646724726</v>
      </c>
      <c r="E4" s="1">
        <v>4.6313826132076796</v>
      </c>
      <c r="F4" s="1">
        <v>18</v>
      </c>
      <c r="G4" s="5">
        <v>74.56</v>
      </c>
      <c r="H4" s="5">
        <v>71.34</v>
      </c>
      <c r="I4" s="5">
        <v>77.7</v>
      </c>
    </row>
    <row r="5" spans="1:9" x14ac:dyDescent="0.4">
      <c r="A5">
        <v>1995</v>
      </c>
      <c r="B5" s="1">
        <v>5.4606522701887714</v>
      </c>
      <c r="C5" s="1">
        <v>11.267207241184236</v>
      </c>
      <c r="D5" s="1">
        <v>6.1467384209228451</v>
      </c>
      <c r="E5" s="1">
        <v>4.6309055831967392</v>
      </c>
      <c r="F5" s="1">
        <v>17.100000000000001</v>
      </c>
      <c r="G5" s="5">
        <v>74.52</v>
      </c>
      <c r="H5" s="5">
        <v>71.19</v>
      </c>
      <c r="I5" s="5">
        <v>77.790000000000006</v>
      </c>
    </row>
    <row r="6" spans="1:9" x14ac:dyDescent="0.4">
      <c r="A6">
        <v>1996</v>
      </c>
      <c r="B6" s="1">
        <v>5.4249768614174601</v>
      </c>
      <c r="C6" s="1">
        <v>11.371945282387998</v>
      </c>
      <c r="D6" s="1">
        <v>6.4042974562850672</v>
      </c>
      <c r="E6" s="1">
        <v>4.5708238873313958</v>
      </c>
      <c r="F6" s="1">
        <v>16.8</v>
      </c>
      <c r="G6" s="5">
        <v>74.819999999999993</v>
      </c>
      <c r="H6" s="5">
        <v>71.430000000000007</v>
      </c>
      <c r="I6" s="5">
        <v>78.14</v>
      </c>
    </row>
    <row r="7" spans="1:9" x14ac:dyDescent="0.4">
      <c r="A7">
        <v>1997</v>
      </c>
      <c r="B7" s="1">
        <v>5.3083650584676443</v>
      </c>
      <c r="C7" s="1">
        <v>10.290290139476371</v>
      </c>
      <c r="D7" s="1">
        <v>5.9097603326641384</v>
      </c>
      <c r="E7" s="1">
        <v>4.6705562858531113</v>
      </c>
      <c r="F7" s="1">
        <v>15.4</v>
      </c>
      <c r="G7" s="5">
        <v>75.44</v>
      </c>
      <c r="H7" s="5">
        <v>72.12</v>
      </c>
      <c r="I7" s="5">
        <v>78.680000000000007</v>
      </c>
    </row>
    <row r="8" spans="1:9" x14ac:dyDescent="0.4">
      <c r="A8">
        <v>1998</v>
      </c>
      <c r="B8" s="1">
        <v>5.3594355033336454</v>
      </c>
      <c r="C8" s="1">
        <v>10.668326948125117</v>
      </c>
      <c r="D8" s="1">
        <v>6.1649408142763829</v>
      </c>
      <c r="E8" s="1">
        <v>4.434632147072417</v>
      </c>
      <c r="F8" s="1">
        <v>16.100000000000001</v>
      </c>
      <c r="G8" s="5">
        <v>75.58</v>
      </c>
      <c r="H8" s="5">
        <v>72.36</v>
      </c>
      <c r="I8" s="5">
        <v>78.7</v>
      </c>
    </row>
    <row r="9" spans="1:9" x14ac:dyDescent="0.4">
      <c r="A9">
        <v>1999</v>
      </c>
      <c r="B9" s="1">
        <v>5.4070763291159363</v>
      </c>
      <c r="C9" s="1">
        <v>10.444871229771426</v>
      </c>
      <c r="D9" s="1">
        <v>6.0882501101945721</v>
      </c>
      <c r="E9" s="1">
        <v>4.2503620678798573</v>
      </c>
      <c r="F9" s="1">
        <v>15.5</v>
      </c>
      <c r="G9" s="5">
        <v>75.83</v>
      </c>
      <c r="H9" s="5">
        <v>72.66</v>
      </c>
      <c r="I9" s="5">
        <v>78.900000000000006</v>
      </c>
    </row>
    <row r="10" spans="1:9" x14ac:dyDescent="0.4">
      <c r="A10">
        <v>2000</v>
      </c>
      <c r="B10" s="1">
        <v>5.1366959158659604</v>
      </c>
      <c r="C10" s="1">
        <v>9.2641430865935632</v>
      </c>
      <c r="D10" s="1">
        <v>5.817850131863338</v>
      </c>
      <c r="E10" s="1">
        <v>4.4258491800678152</v>
      </c>
      <c r="F10" s="1">
        <v>13.8</v>
      </c>
      <c r="G10" s="5">
        <v>76.63</v>
      </c>
      <c r="H10" s="5">
        <v>73.44</v>
      </c>
      <c r="I10" s="5">
        <v>79.69</v>
      </c>
    </row>
    <row r="11" spans="1:9" x14ac:dyDescent="0.4">
      <c r="A11">
        <v>2001</v>
      </c>
      <c r="B11" s="1">
        <v>5.2753055096668833</v>
      </c>
      <c r="C11" s="1">
        <v>8.6828526730236355</v>
      </c>
      <c r="D11" s="1">
        <v>5.1879944178788744</v>
      </c>
      <c r="E11" s="1">
        <v>5.1397340046893039</v>
      </c>
      <c r="F11" s="1">
        <v>13.2</v>
      </c>
      <c r="G11" s="5">
        <v>76.56</v>
      </c>
      <c r="H11" s="5">
        <v>73.31</v>
      </c>
      <c r="I11" s="5">
        <v>79.69</v>
      </c>
    </row>
    <row r="12" spans="1:9" x14ac:dyDescent="0.4">
      <c r="A12">
        <v>2002</v>
      </c>
      <c r="B12" s="1">
        <v>5.1669987848991008</v>
      </c>
      <c r="C12" s="1">
        <v>8.1484646948267194</v>
      </c>
      <c r="D12" s="1">
        <v>5.1819920589809438</v>
      </c>
      <c r="E12" s="1">
        <v>4.9662485945557968</v>
      </c>
      <c r="F12" s="1">
        <v>12.3</v>
      </c>
      <c r="G12" s="5">
        <v>77.11</v>
      </c>
      <c r="H12" s="5">
        <v>73.819999999999993</v>
      </c>
      <c r="I12" s="5">
        <v>80.28</v>
      </c>
    </row>
    <row r="13" spans="1:9" x14ac:dyDescent="0.4">
      <c r="A13">
        <v>2003</v>
      </c>
      <c r="B13" s="1">
        <v>5.2766678037055863</v>
      </c>
      <c r="C13" s="1">
        <v>8.1914123518878359</v>
      </c>
      <c r="D13" s="1">
        <v>5.1307451010274194</v>
      </c>
      <c r="E13" s="1">
        <v>5.9435364041604748</v>
      </c>
      <c r="F13" s="1">
        <v>12.2</v>
      </c>
      <c r="G13" s="5">
        <v>77.16</v>
      </c>
      <c r="H13" s="5">
        <v>73.95</v>
      </c>
      <c r="I13" s="5">
        <v>80.239999999999995</v>
      </c>
    </row>
    <row r="14" spans="1:9" x14ac:dyDescent="0.4">
      <c r="A14">
        <v>2004</v>
      </c>
      <c r="B14" s="1">
        <v>5.3761880518655039</v>
      </c>
      <c r="C14" s="1">
        <v>8.7450771320962382</v>
      </c>
      <c r="D14" s="1">
        <v>5.6107795759024537</v>
      </c>
      <c r="E14" s="1">
        <v>6.4921664058334905</v>
      </c>
      <c r="F14" s="1">
        <v>12.9</v>
      </c>
      <c r="G14" s="5">
        <v>77.25</v>
      </c>
      <c r="H14" s="5">
        <v>74.069999999999993</v>
      </c>
      <c r="I14" s="5">
        <v>80.3</v>
      </c>
    </row>
    <row r="15" spans="1:9" x14ac:dyDescent="0.4">
      <c r="A15">
        <v>2005</v>
      </c>
      <c r="B15" s="1">
        <v>5.3203607701651974</v>
      </c>
      <c r="C15" s="1">
        <v>8.2338038364097006</v>
      </c>
      <c r="D15" s="1">
        <v>5.4030298329972597</v>
      </c>
      <c r="E15" s="1">
        <v>7.9321993002774756</v>
      </c>
      <c r="F15" s="1">
        <v>12.1</v>
      </c>
      <c r="G15" s="5">
        <v>77.7</v>
      </c>
      <c r="H15" s="5">
        <v>74.55</v>
      </c>
      <c r="I15" s="5">
        <v>80.709999999999994</v>
      </c>
    </row>
    <row r="16" spans="1:9" x14ac:dyDescent="0.4">
      <c r="A16">
        <v>2006</v>
      </c>
      <c r="B16" s="1">
        <v>5.2385353706196947</v>
      </c>
      <c r="C16" s="1">
        <v>7.8891825108106248</v>
      </c>
      <c r="D16" s="1">
        <v>5.358123412725651</v>
      </c>
      <c r="E16" s="1">
        <v>9.1118127531059088</v>
      </c>
      <c r="F16" s="1">
        <v>11.7</v>
      </c>
      <c r="G16" s="5">
        <v>78.19</v>
      </c>
      <c r="H16" s="5">
        <v>75.069999999999993</v>
      </c>
      <c r="I16" s="5">
        <v>81.16</v>
      </c>
    </row>
    <row r="17" spans="1:9" x14ac:dyDescent="0.4">
      <c r="A17">
        <v>2007</v>
      </c>
      <c r="B17" s="1">
        <v>5.6302444137532222</v>
      </c>
      <c r="C17" s="1">
        <v>8.2998008708800519</v>
      </c>
      <c r="D17" s="1">
        <v>5.602055739628347</v>
      </c>
      <c r="E17" s="1">
        <v>8.944285159509862</v>
      </c>
      <c r="F17" s="1">
        <v>12.2</v>
      </c>
      <c r="G17" s="5">
        <v>77.73</v>
      </c>
      <c r="H17" s="5">
        <v>74.59</v>
      </c>
      <c r="I17" s="5">
        <v>80.760000000000005</v>
      </c>
    </row>
    <row r="18" spans="1:9" x14ac:dyDescent="0.4">
      <c r="A18">
        <v>2008</v>
      </c>
      <c r="B18" s="1">
        <v>5.4000076896569444</v>
      </c>
      <c r="C18" s="1">
        <v>7.843263570698082</v>
      </c>
      <c r="D18" s="1">
        <v>5.5120266058961365</v>
      </c>
      <c r="E18" s="1">
        <v>8.7250267750014086</v>
      </c>
      <c r="F18" s="1">
        <v>11.5</v>
      </c>
      <c r="G18" s="5">
        <v>78.400000000000006</v>
      </c>
      <c r="H18" s="5">
        <v>75.22</v>
      </c>
      <c r="I18" s="5">
        <v>81.44</v>
      </c>
    </row>
    <row r="19" spans="1:9" x14ac:dyDescent="0.4">
      <c r="A19">
        <v>2009</v>
      </c>
      <c r="B19" s="1">
        <v>5.4478155956627887</v>
      </c>
      <c r="C19" s="1">
        <v>7.8754130944024228</v>
      </c>
      <c r="D19" s="1">
        <v>5.3593822710530254</v>
      </c>
      <c r="E19" s="1">
        <v>8.8810366993461471</v>
      </c>
      <c r="F19" s="1">
        <v>11.6</v>
      </c>
      <c r="G19" s="5">
        <v>78.63</v>
      </c>
      <c r="H19" s="5">
        <v>75.400000000000006</v>
      </c>
      <c r="I19" s="5">
        <v>81.72</v>
      </c>
    </row>
    <row r="20" spans="1:9" x14ac:dyDescent="0.4">
      <c r="A20">
        <v>2010</v>
      </c>
      <c r="B20" s="1">
        <v>5.7390072050823937</v>
      </c>
      <c r="C20" s="1">
        <v>7.4124498903259965</v>
      </c>
      <c r="D20" s="1">
        <v>5.1075044088551307</v>
      </c>
      <c r="E20" s="1">
        <v>8.6226457907873826</v>
      </c>
      <c r="F20" s="1">
        <v>11</v>
      </c>
      <c r="G20" s="5">
        <v>78.45</v>
      </c>
      <c r="H20" s="5">
        <v>75.34</v>
      </c>
      <c r="I20" s="5">
        <v>81.44</v>
      </c>
    </row>
    <row r="21" spans="1:9" x14ac:dyDescent="0.4">
      <c r="A21">
        <v>2011</v>
      </c>
      <c r="B21" s="1">
        <v>5.5050495361726988</v>
      </c>
      <c r="C21" s="1">
        <v>7.6663760301190536</v>
      </c>
      <c r="D21" s="1">
        <v>5.4082505956709888</v>
      </c>
      <c r="E21" s="1">
        <v>8.42979921970114</v>
      </c>
      <c r="F21" s="1">
        <v>11.2</v>
      </c>
      <c r="G21" s="5">
        <v>79.13</v>
      </c>
      <c r="H21" s="5">
        <v>76.099999999999994</v>
      </c>
      <c r="I21" s="5">
        <v>82.02</v>
      </c>
    </row>
    <row r="22" spans="1:9" x14ac:dyDescent="0.4">
      <c r="A22">
        <v>2012</v>
      </c>
      <c r="B22" s="1">
        <v>5.658901649904827</v>
      </c>
      <c r="C22" s="1">
        <v>7.4305538469109074</v>
      </c>
      <c r="D22" s="1">
        <v>5.3596765330643246</v>
      </c>
      <c r="E22" s="1">
        <v>8.4639421302561324</v>
      </c>
      <c r="F22" s="1">
        <v>10.9</v>
      </c>
      <c r="G22" s="5">
        <v>79.2</v>
      </c>
      <c r="H22" s="5">
        <v>76.28</v>
      </c>
      <c r="I22" s="5">
        <v>81.97</v>
      </c>
    </row>
    <row r="23" spans="1:9" x14ac:dyDescent="0.4">
      <c r="A23">
        <v>2013</v>
      </c>
      <c r="B23" s="1">
        <v>5.6649190984596665</v>
      </c>
      <c r="C23" s="1">
        <v>6.9669194851397087</v>
      </c>
      <c r="D23" s="1">
        <v>5.1593085785343122</v>
      </c>
      <c r="E23" s="1">
        <v>8.6057102387364015</v>
      </c>
      <c r="F23" s="1">
        <v>10.199999999999999</v>
      </c>
      <c r="G23" s="5">
        <v>79.48</v>
      </c>
      <c r="H23" s="5">
        <v>76.400000000000006</v>
      </c>
      <c r="I23" s="5">
        <v>82.43</v>
      </c>
    </row>
    <row r="24" spans="1:9" x14ac:dyDescent="0.4">
      <c r="A24">
        <v>2014</v>
      </c>
      <c r="B24" s="1">
        <v>5.732077545856761</v>
      </c>
      <c r="C24" s="1">
        <v>7.2364925414561805</v>
      </c>
      <c r="D24" s="1">
        <v>5.1983790256707145</v>
      </c>
      <c r="E24" s="1">
        <v>8.5410437996145827</v>
      </c>
      <c r="F24" s="1">
        <v>10.6</v>
      </c>
      <c r="G24" s="5">
        <v>79.69</v>
      </c>
      <c r="H24" s="5">
        <v>76.64</v>
      </c>
      <c r="I24" s="5">
        <v>82.62</v>
      </c>
    </row>
    <row r="25" spans="1:9" x14ac:dyDescent="0.4">
      <c r="A25">
        <v>2015</v>
      </c>
      <c r="B25" s="1">
        <v>5.7495168857802739</v>
      </c>
      <c r="C25" s="1">
        <v>6.8580230312217303</v>
      </c>
      <c r="D25" s="1">
        <v>5.0935999934801917</v>
      </c>
      <c r="E25" s="1">
        <v>8.2638566294222642</v>
      </c>
      <c r="F25" s="1">
        <v>10</v>
      </c>
      <c r="G25" s="5">
        <v>79.97</v>
      </c>
      <c r="H25" s="5">
        <v>77</v>
      </c>
      <c r="I25" s="5">
        <v>82.84</v>
      </c>
    </row>
    <row r="26" spans="1:9" x14ac:dyDescent="0.4">
      <c r="A26">
        <v>2016</v>
      </c>
      <c r="B26" s="1">
        <v>5.7260504359875553</v>
      </c>
      <c r="C26" s="1">
        <v>7.0029576641331639</v>
      </c>
      <c r="D26" s="1">
        <v>5.2146026068714102</v>
      </c>
      <c r="E26" s="1">
        <v>8.5634694088110876</v>
      </c>
      <c r="F26" s="1">
        <v>10.199999999999999</v>
      </c>
      <c r="G26" s="5">
        <v>80.27</v>
      </c>
      <c r="H26" s="5">
        <v>77.41</v>
      </c>
      <c r="I26" s="5">
        <v>83.05</v>
      </c>
    </row>
    <row r="27" spans="1:9" x14ac:dyDescent="0.4">
      <c r="A27">
        <v>2017</v>
      </c>
      <c r="B27" s="1">
        <v>5.7759319735632273</v>
      </c>
      <c r="C27" s="1">
        <v>7.093587979625867</v>
      </c>
      <c r="D27" s="1">
        <v>5.4762316965384024</v>
      </c>
      <c r="E27" s="1">
        <v>8.2280153443829889</v>
      </c>
      <c r="F27" s="1">
        <v>10.199999999999999</v>
      </c>
      <c r="G27" s="5">
        <v>80.44</v>
      </c>
      <c r="H27" s="5">
        <v>77.62</v>
      </c>
      <c r="I27" s="5">
        <v>83.18</v>
      </c>
    </row>
    <row r="28" spans="1:9" x14ac:dyDescent="0.4">
      <c r="A28">
        <v>2018</v>
      </c>
      <c r="B28" s="1">
        <v>5.6953598943652493</v>
      </c>
      <c r="C28" s="1">
        <v>6.6325060336443213</v>
      </c>
      <c r="D28" s="1">
        <v>4.9800079247865705</v>
      </c>
      <c r="E28" s="1">
        <v>9.0324556031843244</v>
      </c>
      <c r="F28" s="1">
        <v>9.6999999999999993</v>
      </c>
      <c r="G28" s="5">
        <v>80.77</v>
      </c>
      <c r="H28" s="5">
        <v>77.959999999999994</v>
      </c>
      <c r="I28" s="5">
        <v>83.51</v>
      </c>
    </row>
    <row r="29" spans="1:9" x14ac:dyDescent="0.4">
      <c r="A29">
        <v>2019</v>
      </c>
      <c r="B29" s="1">
        <v>5.7390883109292314</v>
      </c>
      <c r="C29" s="1">
        <v>6.5157571062624458</v>
      </c>
      <c r="D29" s="1">
        <v>4.7858259708287987</v>
      </c>
      <c r="E29" s="1">
        <v>9.0773859029622699</v>
      </c>
      <c r="F29" s="1">
        <v>9.6</v>
      </c>
      <c r="G29" s="5">
        <v>80.849999999999994</v>
      </c>
      <c r="H29" s="5">
        <v>78.06</v>
      </c>
      <c r="I29" s="5">
        <v>83.56</v>
      </c>
    </row>
    <row r="30" spans="1:9" x14ac:dyDescent="0.4">
      <c r="A30">
        <v>2020</v>
      </c>
      <c r="B30" s="1">
        <v>6.4840677325009217</v>
      </c>
      <c r="C30" s="1">
        <v>5.5729425443965805</v>
      </c>
      <c r="D30" s="1">
        <v>4.2616619457150327</v>
      </c>
      <c r="E30" s="1">
        <v>8.2672143995000731</v>
      </c>
      <c r="F30" s="1">
        <v>8.1999999999999993</v>
      </c>
      <c r="G30" s="5">
        <v>79.81</v>
      </c>
      <c r="H30" s="5">
        <v>76.739999999999995</v>
      </c>
      <c r="I30" s="5">
        <v>82.81</v>
      </c>
    </row>
    <row r="31" spans="1:9" x14ac:dyDescent="0.4">
      <c r="A31">
        <v>2021</v>
      </c>
      <c r="B31" s="1">
        <v>6.993925256892557</v>
      </c>
      <c r="C31" s="1">
        <v>5.7926262347365984</v>
      </c>
      <c r="D31" s="1">
        <v>4.4402621332416734</v>
      </c>
      <c r="E31" s="1">
        <v>10.306141423475914</v>
      </c>
      <c r="F31" s="1">
        <v>8.5</v>
      </c>
      <c r="G31" s="5">
        <v>79.14</v>
      </c>
      <c r="H31" s="5">
        <v>76.14</v>
      </c>
      <c r="I31" s="5">
        <v>82.08</v>
      </c>
    </row>
    <row r="32" spans="1:9" x14ac:dyDescent="0.4">
      <c r="A32">
        <v>2022</v>
      </c>
      <c r="B32" s="1">
        <v>6.9078127345889868</v>
      </c>
      <c r="C32" s="1">
        <v>5.8574270592022293</v>
      </c>
      <c r="D32" s="1">
        <v>4.4959710400363058</v>
      </c>
      <c r="E32" s="1">
        <v>10.443106441586677</v>
      </c>
      <c r="F32" s="1">
        <v>8.6</v>
      </c>
      <c r="G32" s="5">
        <v>79.72</v>
      </c>
      <c r="H32" s="5">
        <v>76.81</v>
      </c>
      <c r="I32" s="5">
        <v>82.59</v>
      </c>
    </row>
    <row r="33" spans="1:18" ht="14.65" x14ac:dyDescent="0.4">
      <c r="A33" s="9" t="s">
        <v>45</v>
      </c>
      <c r="B33" s="1">
        <v>6.1</v>
      </c>
      <c r="C33" s="1">
        <v>6.6</v>
      </c>
      <c r="D33" s="1"/>
      <c r="E33" s="1"/>
      <c r="F33" s="1">
        <v>7.5</v>
      </c>
      <c r="G33" s="5">
        <v>81.39</v>
      </c>
      <c r="H33" s="5">
        <v>78.7</v>
      </c>
      <c r="I33" s="5">
        <v>84.02</v>
      </c>
    </row>
    <row r="34" spans="1:18" ht="14.65" x14ac:dyDescent="0.4">
      <c r="A34" s="39" t="s">
        <v>46</v>
      </c>
      <c r="B34" s="1">
        <v>6.3</v>
      </c>
      <c r="C34" s="1">
        <v>6.2</v>
      </c>
      <c r="D34" s="1"/>
      <c r="E34" s="1"/>
      <c r="F34" s="1">
        <v>9</v>
      </c>
      <c r="G34" s="5">
        <v>81.099999999999994</v>
      </c>
      <c r="H34" s="5">
        <v>78.41</v>
      </c>
      <c r="I34" s="5">
        <v>83.69</v>
      </c>
    </row>
    <row r="35" spans="1:18" x14ac:dyDescent="0.4">
      <c r="A35" s="9"/>
      <c r="B35" s="1"/>
      <c r="C35" s="1"/>
      <c r="D35" s="1"/>
      <c r="E35" s="1"/>
      <c r="F35" s="1"/>
      <c r="G35" s="5"/>
      <c r="H35" s="5"/>
      <c r="I35" s="5"/>
    </row>
    <row r="36" spans="1:18" x14ac:dyDescent="0.4">
      <c r="A36" s="25" t="s">
        <v>80</v>
      </c>
      <c r="B36" s="4"/>
      <c r="C36" s="4"/>
      <c r="D36" s="4"/>
      <c r="E36" s="4"/>
      <c r="F36" s="4"/>
      <c r="G36" s="1"/>
      <c r="H36" s="9"/>
      <c r="I36" s="9"/>
      <c r="J36" s="9"/>
      <c r="K36" s="9"/>
      <c r="L36" s="9"/>
      <c r="M36" s="9"/>
      <c r="N36" s="9"/>
      <c r="O36" s="9"/>
      <c r="P36" s="9"/>
      <c r="Q36" s="9"/>
      <c r="R36" s="4"/>
    </row>
    <row r="37" spans="1:18" x14ac:dyDescent="0.4">
      <c r="A37" t="s">
        <v>48</v>
      </c>
    </row>
    <row r="38" spans="1:18" x14ac:dyDescent="0.4">
      <c r="A38" t="s">
        <v>100</v>
      </c>
    </row>
    <row r="39" spans="1:18" x14ac:dyDescent="0.4">
      <c r="A39" t="s">
        <v>109</v>
      </c>
    </row>
    <row r="40" spans="1:18" x14ac:dyDescent="0.4">
      <c r="A40" t="s">
        <v>110</v>
      </c>
    </row>
    <row r="41" spans="1:18" x14ac:dyDescent="0.4">
      <c r="A41" t="s">
        <v>111</v>
      </c>
    </row>
    <row r="43" spans="1:18" x14ac:dyDescent="0.4">
      <c r="A43" s="6"/>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55"/>
  <sheetViews>
    <sheetView workbookViewId="0">
      <selection activeCell="A38" sqref="A38"/>
    </sheetView>
  </sheetViews>
  <sheetFormatPr defaultColWidth="11.42578125" defaultRowHeight="13.15" x14ac:dyDescent="0.4"/>
  <cols>
    <col min="5" max="16" width="8.42578125" customWidth="1"/>
    <col min="18" max="29" width="7.5703125" customWidth="1"/>
  </cols>
  <sheetData>
    <row r="1" spans="1:29" ht="41.25" customHeight="1" x14ac:dyDescent="0.4">
      <c r="A1" s="2" t="s">
        <v>28</v>
      </c>
      <c r="B1" s="2" t="s">
        <v>112</v>
      </c>
      <c r="C1" s="3" t="s">
        <v>113</v>
      </c>
      <c r="D1" s="3" t="s">
        <v>114</v>
      </c>
      <c r="E1" s="3" t="s">
        <v>115</v>
      </c>
      <c r="F1" s="3" t="s">
        <v>116</v>
      </c>
      <c r="G1" s="3" t="s">
        <v>117</v>
      </c>
      <c r="H1" s="3" t="s">
        <v>118</v>
      </c>
      <c r="I1" s="3" t="s">
        <v>119</v>
      </c>
      <c r="J1" s="3" t="s">
        <v>120</v>
      </c>
      <c r="K1" s="3" t="s">
        <v>121</v>
      </c>
      <c r="L1" s="3" t="s">
        <v>122</v>
      </c>
      <c r="M1" s="3" t="s">
        <v>123</v>
      </c>
      <c r="N1" s="3" t="s">
        <v>124</v>
      </c>
      <c r="O1" s="3" t="s">
        <v>125</v>
      </c>
      <c r="P1" s="3" t="s">
        <v>126</v>
      </c>
      <c r="Q1" s="3" t="s">
        <v>127</v>
      </c>
      <c r="R1" s="3" t="s">
        <v>128</v>
      </c>
      <c r="S1" s="3" t="s">
        <v>129</v>
      </c>
      <c r="T1" s="3" t="s">
        <v>130</v>
      </c>
      <c r="U1" s="3" t="s">
        <v>131</v>
      </c>
      <c r="V1" s="3" t="s">
        <v>132</v>
      </c>
      <c r="W1" s="3" t="s">
        <v>133</v>
      </c>
      <c r="X1" s="3" t="s">
        <v>134</v>
      </c>
      <c r="Y1" s="3" t="s">
        <v>135</v>
      </c>
      <c r="Z1" s="3" t="s">
        <v>136</v>
      </c>
      <c r="AA1" s="3" t="s">
        <v>137</v>
      </c>
      <c r="AB1" s="3" t="s">
        <v>138</v>
      </c>
      <c r="AC1" s="3" t="s">
        <v>139</v>
      </c>
    </row>
    <row r="2" spans="1:29" x14ac:dyDescent="0.4">
      <c r="A2">
        <v>1992</v>
      </c>
      <c r="B2" s="4">
        <v>89370</v>
      </c>
      <c r="C2" s="1">
        <v>6.505757926986135</v>
      </c>
      <c r="D2" s="29">
        <v>1</v>
      </c>
      <c r="E2" s="4">
        <v>4038</v>
      </c>
      <c r="F2" s="4">
        <v>33194</v>
      </c>
      <c r="G2" s="4">
        <v>30227</v>
      </c>
      <c r="H2" s="4">
        <v>11805</v>
      </c>
      <c r="I2" s="4">
        <v>4245</v>
      </c>
      <c r="J2" s="4">
        <v>1903</v>
      </c>
      <c r="K2" s="4">
        <v>1085</v>
      </c>
      <c r="L2" s="4">
        <v>732</v>
      </c>
      <c r="M2" s="4">
        <v>554</v>
      </c>
      <c r="N2" s="4">
        <v>551</v>
      </c>
      <c r="O2" s="4">
        <v>377</v>
      </c>
      <c r="P2" s="4">
        <v>658</v>
      </c>
      <c r="Q2" s="4">
        <v>343</v>
      </c>
      <c r="R2" s="4">
        <v>16501</v>
      </c>
      <c r="S2" s="4">
        <v>36345</v>
      </c>
      <c r="T2" s="4">
        <v>21332</v>
      </c>
      <c r="U2" s="4">
        <v>7853</v>
      </c>
      <c r="V2" s="4">
        <v>3166</v>
      </c>
      <c r="W2" s="4">
        <v>1414</v>
      </c>
      <c r="X2" s="4">
        <v>847</v>
      </c>
      <c r="Y2" s="4">
        <v>526</v>
      </c>
      <c r="Z2" s="4">
        <v>347</v>
      </c>
      <c r="AA2" s="4">
        <v>341</v>
      </c>
      <c r="AB2" s="4">
        <v>167</v>
      </c>
      <c r="AC2">
        <v>188</v>
      </c>
    </row>
    <row r="3" spans="1:29" x14ac:dyDescent="0.4">
      <c r="A3">
        <v>1993</v>
      </c>
      <c r="B3" s="4">
        <v>92821</v>
      </c>
      <c r="C3" s="1">
        <v>6.6506094606730528</v>
      </c>
      <c r="D3" s="29">
        <v>5</v>
      </c>
      <c r="E3" s="4">
        <v>5093</v>
      </c>
      <c r="F3" s="4">
        <v>34986</v>
      </c>
      <c r="G3" s="4">
        <v>30216</v>
      </c>
      <c r="H3" s="4">
        <v>12341</v>
      </c>
      <c r="I3" s="4">
        <v>4315</v>
      </c>
      <c r="J3" s="4">
        <v>1862</v>
      </c>
      <c r="K3" s="4">
        <v>1099</v>
      </c>
      <c r="L3" s="4">
        <v>700</v>
      </c>
      <c r="M3" s="4">
        <v>543</v>
      </c>
      <c r="N3" s="4">
        <v>569</v>
      </c>
      <c r="O3" s="4">
        <v>425</v>
      </c>
      <c r="P3" s="4">
        <v>667</v>
      </c>
      <c r="Q3" s="4">
        <v>351</v>
      </c>
      <c r="R3" s="4">
        <v>18320</v>
      </c>
      <c r="S3" s="4">
        <v>37632</v>
      </c>
      <c r="T3" s="4">
        <v>21176</v>
      </c>
      <c r="U3" s="4">
        <v>8102</v>
      </c>
      <c r="V3" s="4">
        <v>3222</v>
      </c>
      <c r="W3" s="4">
        <v>1445</v>
      </c>
      <c r="X3" s="4">
        <v>895</v>
      </c>
      <c r="Y3" s="4">
        <v>582</v>
      </c>
      <c r="Z3" s="4">
        <v>350</v>
      </c>
      <c r="AA3" s="4">
        <v>330</v>
      </c>
      <c r="AB3" s="4">
        <v>206</v>
      </c>
      <c r="AC3">
        <v>210</v>
      </c>
    </row>
    <row r="4" spans="1:29" x14ac:dyDescent="0.4">
      <c r="A4">
        <v>1994</v>
      </c>
      <c r="B4" s="4">
        <v>91555</v>
      </c>
      <c r="C4" s="1">
        <v>6.4603553770542268</v>
      </c>
      <c r="D4" s="29">
        <v>7</v>
      </c>
      <c r="E4" s="4">
        <v>5274</v>
      </c>
      <c r="F4" s="4">
        <v>33785</v>
      </c>
      <c r="G4" s="4">
        <v>29244</v>
      </c>
      <c r="H4" s="4">
        <v>12570</v>
      </c>
      <c r="I4" s="4">
        <v>4610</v>
      </c>
      <c r="J4" s="4">
        <v>1971</v>
      </c>
      <c r="K4" s="4">
        <v>1122</v>
      </c>
      <c r="L4" s="4">
        <v>768</v>
      </c>
      <c r="M4" s="4">
        <v>515</v>
      </c>
      <c r="N4" s="4">
        <v>534</v>
      </c>
      <c r="O4" s="4">
        <v>465</v>
      </c>
      <c r="P4" s="4">
        <v>690</v>
      </c>
      <c r="Q4" s="4">
        <v>374</v>
      </c>
      <c r="R4" s="4">
        <v>17884</v>
      </c>
      <c r="S4" s="4">
        <v>36431</v>
      </c>
      <c r="T4" s="4">
        <v>20715</v>
      </c>
      <c r="U4" s="4">
        <v>8549</v>
      </c>
      <c r="V4" s="4">
        <v>3388</v>
      </c>
      <c r="W4" s="4">
        <v>1549</v>
      </c>
      <c r="X4" s="4">
        <v>901</v>
      </c>
      <c r="Y4" s="4">
        <v>625</v>
      </c>
      <c r="Z4" s="4">
        <v>383</v>
      </c>
      <c r="AA4" s="4">
        <v>320</v>
      </c>
      <c r="AB4" s="4">
        <v>211</v>
      </c>
      <c r="AC4">
        <v>225</v>
      </c>
    </row>
    <row r="5" spans="1:29" x14ac:dyDescent="0.4">
      <c r="A5">
        <v>1995</v>
      </c>
      <c r="B5" s="4">
        <v>87205</v>
      </c>
      <c r="C5" s="1">
        <v>6.0637987701902665</v>
      </c>
      <c r="D5" s="29">
        <v>1</v>
      </c>
      <c r="E5" s="4">
        <v>4399</v>
      </c>
      <c r="F5" s="4">
        <v>31780</v>
      </c>
      <c r="G5" s="4">
        <v>27945</v>
      </c>
      <c r="H5" s="4">
        <v>12582</v>
      </c>
      <c r="I5" s="4">
        <v>4632</v>
      </c>
      <c r="J5" s="4">
        <v>1959</v>
      </c>
      <c r="K5" s="4">
        <v>1068</v>
      </c>
      <c r="L5" s="4">
        <v>759</v>
      </c>
      <c r="M5" s="4">
        <v>537</v>
      </c>
      <c r="N5" s="4">
        <v>489</v>
      </c>
      <c r="O5" s="4">
        <v>438</v>
      </c>
      <c r="P5" s="4">
        <v>616</v>
      </c>
      <c r="Q5" s="4">
        <v>317</v>
      </c>
      <c r="R5" s="4">
        <v>16433</v>
      </c>
      <c r="S5" s="4">
        <v>34276</v>
      </c>
      <c r="T5" s="4">
        <v>20231</v>
      </c>
      <c r="U5" s="4">
        <v>8288</v>
      </c>
      <c r="V5" s="4">
        <v>3450</v>
      </c>
      <c r="W5" s="4">
        <v>1579</v>
      </c>
      <c r="X5" s="4">
        <v>922</v>
      </c>
      <c r="Y5" s="4">
        <v>622</v>
      </c>
      <c r="Z5" s="4">
        <v>362</v>
      </c>
      <c r="AA5" s="4">
        <v>295</v>
      </c>
      <c r="AB5" s="4">
        <v>230</v>
      </c>
      <c r="AC5">
        <v>200</v>
      </c>
    </row>
    <row r="6" spans="1:29" x14ac:dyDescent="0.4">
      <c r="A6">
        <v>1996</v>
      </c>
      <c r="B6" s="4">
        <v>83547</v>
      </c>
      <c r="C6" s="1">
        <v>5.7283032979139383</v>
      </c>
      <c r="D6" s="29">
        <v>1</v>
      </c>
      <c r="E6" s="4">
        <v>3955</v>
      </c>
      <c r="F6" s="4">
        <v>29264</v>
      </c>
      <c r="G6" s="4">
        <v>27073</v>
      </c>
      <c r="H6" s="4">
        <v>12490</v>
      </c>
      <c r="I6" s="4">
        <v>4688</v>
      </c>
      <c r="J6" s="4">
        <v>2062</v>
      </c>
      <c r="K6" s="4">
        <v>1072</v>
      </c>
      <c r="L6" s="4">
        <v>774</v>
      </c>
      <c r="M6" s="4">
        <v>584</v>
      </c>
      <c r="N6" s="4">
        <v>513</v>
      </c>
      <c r="O6" s="4">
        <v>444</v>
      </c>
      <c r="P6" s="4">
        <v>627</v>
      </c>
      <c r="Q6" s="4">
        <v>328</v>
      </c>
      <c r="R6" s="4">
        <v>15209</v>
      </c>
      <c r="S6" s="4">
        <v>31843</v>
      </c>
      <c r="T6" s="4">
        <v>20106</v>
      </c>
      <c r="U6" s="4">
        <v>8247</v>
      </c>
      <c r="V6" s="4">
        <v>3535</v>
      </c>
      <c r="W6" s="4">
        <v>1585</v>
      </c>
      <c r="X6" s="4">
        <v>979</v>
      </c>
      <c r="Y6" s="4">
        <v>585</v>
      </c>
      <c r="Z6" s="4">
        <v>406</v>
      </c>
      <c r="AA6" s="4">
        <v>282</v>
      </c>
      <c r="AB6" s="4">
        <v>218</v>
      </c>
      <c r="AC6">
        <v>224</v>
      </c>
    </row>
    <row r="7" spans="1:29" x14ac:dyDescent="0.4">
      <c r="A7">
        <v>1997</v>
      </c>
      <c r="B7" s="4">
        <v>78077</v>
      </c>
      <c r="C7" s="1">
        <v>5.2816446461155353</v>
      </c>
      <c r="D7" s="29">
        <v>1</v>
      </c>
      <c r="E7" s="4">
        <v>3477</v>
      </c>
      <c r="F7" s="4">
        <v>25943</v>
      </c>
      <c r="G7" s="4">
        <v>25978</v>
      </c>
      <c r="H7" s="4">
        <v>12296</v>
      </c>
      <c r="I7" s="4">
        <v>4527</v>
      </c>
      <c r="J7" s="4">
        <v>2055</v>
      </c>
      <c r="K7" s="4">
        <v>1068</v>
      </c>
      <c r="L7" s="4">
        <v>717</v>
      </c>
      <c r="M7" s="4">
        <v>552</v>
      </c>
      <c r="N7" s="4">
        <v>419</v>
      </c>
      <c r="O7" s="4">
        <v>418</v>
      </c>
      <c r="P7" s="4">
        <v>626</v>
      </c>
      <c r="Q7" s="4">
        <v>259</v>
      </c>
      <c r="R7" s="4">
        <v>13392</v>
      </c>
      <c r="S7" s="4">
        <v>29120</v>
      </c>
      <c r="T7" s="4">
        <v>19932</v>
      </c>
      <c r="U7" s="4">
        <v>7860</v>
      </c>
      <c r="V7" s="4">
        <v>3424</v>
      </c>
      <c r="W7" s="4">
        <v>1579</v>
      </c>
      <c r="X7" s="4">
        <v>842</v>
      </c>
      <c r="Y7" s="4">
        <v>596</v>
      </c>
      <c r="Z7" s="4">
        <v>378</v>
      </c>
      <c r="AA7" s="4">
        <v>277</v>
      </c>
      <c r="AB7" s="4">
        <v>203</v>
      </c>
      <c r="AC7">
        <v>215</v>
      </c>
    </row>
    <row r="8" spans="1:29" x14ac:dyDescent="0.4">
      <c r="A8">
        <v>1998</v>
      </c>
      <c r="B8" s="4">
        <v>73456</v>
      </c>
      <c r="C8" s="1">
        <v>4.9052754816760684</v>
      </c>
      <c r="D8" s="29">
        <v>1</v>
      </c>
      <c r="E8" s="4">
        <v>3076</v>
      </c>
      <c r="F8" s="4">
        <v>22874</v>
      </c>
      <c r="G8" s="4">
        <v>24867</v>
      </c>
      <c r="H8" s="4">
        <v>11977</v>
      </c>
      <c r="I8" s="4">
        <v>4784</v>
      </c>
      <c r="J8" s="4">
        <v>2100</v>
      </c>
      <c r="K8" s="4">
        <v>1037</v>
      </c>
      <c r="L8" s="4">
        <v>703</v>
      </c>
      <c r="M8" s="4">
        <v>557</v>
      </c>
      <c r="N8" s="4">
        <v>437</v>
      </c>
      <c r="O8" s="4">
        <v>417</v>
      </c>
      <c r="P8" s="4">
        <v>626</v>
      </c>
      <c r="Q8" s="4">
        <v>210</v>
      </c>
      <c r="R8" s="4">
        <v>12042</v>
      </c>
      <c r="S8" s="4">
        <v>26043</v>
      </c>
      <c r="T8" s="4">
        <v>19772</v>
      </c>
      <c r="U8" s="4">
        <v>7832</v>
      </c>
      <c r="V8" s="4">
        <v>3468</v>
      </c>
      <c r="W8" s="4">
        <v>1558</v>
      </c>
      <c r="X8" s="4">
        <v>898</v>
      </c>
      <c r="Y8" s="4">
        <v>573</v>
      </c>
      <c r="Z8" s="4">
        <v>384</v>
      </c>
      <c r="AA8" s="4">
        <v>288</v>
      </c>
      <c r="AB8" s="4">
        <v>210</v>
      </c>
      <c r="AC8">
        <v>178</v>
      </c>
    </row>
    <row r="9" spans="1:29" x14ac:dyDescent="0.4">
      <c r="A9">
        <v>1999</v>
      </c>
      <c r="B9" s="4">
        <v>69765</v>
      </c>
      <c r="C9" s="1">
        <v>4.6011987717209859</v>
      </c>
      <c r="D9" s="29">
        <v>2</v>
      </c>
      <c r="E9" s="4">
        <v>2687</v>
      </c>
      <c r="F9" s="4">
        <v>20200</v>
      </c>
      <c r="G9" s="4">
        <v>24430</v>
      </c>
      <c r="H9" s="4">
        <v>11648</v>
      </c>
      <c r="I9" s="4">
        <v>4748</v>
      </c>
      <c r="J9" s="4">
        <v>2165</v>
      </c>
      <c r="K9" s="4">
        <v>1067</v>
      </c>
      <c r="L9" s="4">
        <v>743</v>
      </c>
      <c r="M9" s="4">
        <v>547</v>
      </c>
      <c r="N9" s="4">
        <v>443</v>
      </c>
      <c r="O9" s="4">
        <v>417</v>
      </c>
      <c r="P9" s="4">
        <v>668</v>
      </c>
      <c r="Q9" s="4">
        <v>178</v>
      </c>
      <c r="R9" s="4">
        <v>10607</v>
      </c>
      <c r="S9" s="4">
        <v>23817</v>
      </c>
      <c r="T9" s="4">
        <v>19675</v>
      </c>
      <c r="U9" s="4">
        <v>7712</v>
      </c>
      <c r="V9" s="4">
        <v>3493</v>
      </c>
      <c r="W9" s="4">
        <v>1670</v>
      </c>
      <c r="X9" s="4">
        <v>905</v>
      </c>
      <c r="Y9" s="4">
        <v>603</v>
      </c>
      <c r="Z9" s="4">
        <v>414</v>
      </c>
      <c r="AA9" s="4">
        <v>291</v>
      </c>
      <c r="AB9" s="4">
        <v>184</v>
      </c>
      <c r="AC9">
        <v>216</v>
      </c>
    </row>
    <row r="10" spans="1:29" x14ac:dyDescent="0.4">
      <c r="A10">
        <v>2000</v>
      </c>
      <c r="B10" s="4">
        <v>66607</v>
      </c>
      <c r="C10" s="1">
        <v>4.341105702896491</v>
      </c>
      <c r="D10" s="29">
        <v>1</v>
      </c>
      <c r="E10" s="4">
        <v>2570</v>
      </c>
      <c r="F10" s="4">
        <v>18264</v>
      </c>
      <c r="G10" s="4">
        <v>23733</v>
      </c>
      <c r="H10" s="4">
        <v>11364</v>
      </c>
      <c r="I10" s="4">
        <v>4857</v>
      </c>
      <c r="J10" s="4">
        <v>2087</v>
      </c>
      <c r="K10" s="4">
        <v>1081</v>
      </c>
      <c r="L10" s="4">
        <v>710</v>
      </c>
      <c r="M10" s="4">
        <v>526</v>
      </c>
      <c r="N10" s="4">
        <v>398</v>
      </c>
      <c r="O10" s="4">
        <v>369</v>
      </c>
      <c r="P10" s="4">
        <v>647</v>
      </c>
      <c r="Q10" s="4">
        <v>159</v>
      </c>
      <c r="R10" s="4">
        <v>9706</v>
      </c>
      <c r="S10" s="4">
        <v>22226</v>
      </c>
      <c r="T10" s="4">
        <v>19255</v>
      </c>
      <c r="U10" s="4">
        <v>7691</v>
      </c>
      <c r="V10" s="4">
        <v>3346</v>
      </c>
      <c r="W10" s="4">
        <v>1662</v>
      </c>
      <c r="X10" s="4">
        <v>929</v>
      </c>
      <c r="Y10" s="4">
        <v>583</v>
      </c>
      <c r="Z10" s="4">
        <v>368</v>
      </c>
      <c r="AA10" s="4">
        <v>294</v>
      </c>
      <c r="AB10" s="4">
        <v>182</v>
      </c>
      <c r="AC10">
        <v>206</v>
      </c>
    </row>
    <row r="11" spans="1:29" x14ac:dyDescent="0.4">
      <c r="A11">
        <v>2001</v>
      </c>
      <c r="B11" s="4">
        <v>64088</v>
      </c>
      <c r="C11" s="1">
        <v>4.1293684059889246</v>
      </c>
      <c r="D11" s="29"/>
      <c r="E11" s="4">
        <v>2262</v>
      </c>
      <c r="F11" s="4">
        <v>16638</v>
      </c>
      <c r="G11" s="4">
        <v>22788</v>
      </c>
      <c r="H11" s="4">
        <v>11571</v>
      </c>
      <c r="I11" s="4">
        <v>4920</v>
      </c>
      <c r="J11" s="4">
        <v>2129</v>
      </c>
      <c r="K11" s="4">
        <v>1071</v>
      </c>
      <c r="L11" s="4">
        <v>708</v>
      </c>
      <c r="M11" s="4">
        <v>506</v>
      </c>
      <c r="N11" s="4">
        <v>419</v>
      </c>
      <c r="O11" s="4">
        <v>389</v>
      </c>
      <c r="P11" s="4">
        <v>687</v>
      </c>
      <c r="Q11" s="4">
        <v>94</v>
      </c>
      <c r="R11" s="4">
        <v>8781</v>
      </c>
      <c r="S11" s="4">
        <v>20837</v>
      </c>
      <c r="T11" s="4">
        <v>18679</v>
      </c>
      <c r="U11" s="4">
        <v>7916</v>
      </c>
      <c r="V11" s="4">
        <v>3458</v>
      </c>
      <c r="W11" s="4">
        <v>1674</v>
      </c>
      <c r="X11" s="4">
        <v>970</v>
      </c>
      <c r="Y11" s="4">
        <v>612</v>
      </c>
      <c r="Z11" s="4">
        <v>400</v>
      </c>
      <c r="AA11" s="4">
        <v>264</v>
      </c>
      <c r="AB11" s="4">
        <v>185</v>
      </c>
      <c r="AC11">
        <v>218</v>
      </c>
    </row>
    <row r="12" spans="1:29" x14ac:dyDescent="0.4">
      <c r="A12">
        <v>2002</v>
      </c>
      <c r="B12" s="4">
        <v>60971</v>
      </c>
      <c r="C12" s="1">
        <v>3.885557085238879</v>
      </c>
      <c r="D12" s="29"/>
      <c r="E12" s="4">
        <v>1757</v>
      </c>
      <c r="F12" s="4">
        <v>14876</v>
      </c>
      <c r="G12" s="4">
        <v>21636</v>
      </c>
      <c r="H12" s="4">
        <v>11669</v>
      </c>
      <c r="I12" s="4">
        <v>4797</v>
      </c>
      <c r="J12" s="4">
        <v>2209</v>
      </c>
      <c r="K12" s="4">
        <v>1151</v>
      </c>
      <c r="L12" s="4">
        <v>758</v>
      </c>
      <c r="M12" s="4">
        <v>550</v>
      </c>
      <c r="N12" s="4">
        <v>442</v>
      </c>
      <c r="O12" s="4">
        <v>375</v>
      </c>
      <c r="P12" s="4">
        <v>751</v>
      </c>
      <c r="Q12" s="4">
        <v>91</v>
      </c>
      <c r="R12" s="4">
        <v>7169</v>
      </c>
      <c r="S12" s="4">
        <v>19574</v>
      </c>
      <c r="T12" s="4">
        <v>18399</v>
      </c>
      <c r="U12" s="4">
        <v>7767</v>
      </c>
      <c r="V12" s="4">
        <v>3365</v>
      </c>
      <c r="W12" s="4">
        <v>1806</v>
      </c>
      <c r="X12" s="4">
        <v>972</v>
      </c>
      <c r="Y12" s="4">
        <v>671</v>
      </c>
      <c r="Z12" s="4">
        <v>441</v>
      </c>
      <c r="AA12" s="4">
        <v>297</v>
      </c>
      <c r="AB12" s="4">
        <v>193</v>
      </c>
      <c r="AC12">
        <v>226</v>
      </c>
    </row>
    <row r="13" spans="1:29" x14ac:dyDescent="0.4">
      <c r="A13">
        <v>2003</v>
      </c>
      <c r="B13" s="4">
        <v>56659</v>
      </c>
      <c r="C13" s="1">
        <v>3.5731274630719332</v>
      </c>
      <c r="D13" s="29"/>
      <c r="E13" s="4">
        <v>1445</v>
      </c>
      <c r="F13" s="4">
        <v>13323</v>
      </c>
      <c r="G13" s="4">
        <v>19540</v>
      </c>
      <c r="H13" s="4">
        <v>11520</v>
      </c>
      <c r="I13" s="4">
        <v>4615</v>
      </c>
      <c r="J13" s="4">
        <v>2199</v>
      </c>
      <c r="K13" s="4">
        <v>1210</v>
      </c>
      <c r="L13" s="4">
        <v>717</v>
      </c>
      <c r="M13" s="4">
        <v>543</v>
      </c>
      <c r="N13" s="4">
        <v>463</v>
      </c>
      <c r="O13" s="4">
        <v>361</v>
      </c>
      <c r="P13" s="4">
        <v>723</v>
      </c>
      <c r="Q13" s="4">
        <v>66</v>
      </c>
      <c r="R13" s="4">
        <v>5905</v>
      </c>
      <c r="S13" s="4">
        <v>18150</v>
      </c>
      <c r="T13" s="4">
        <v>17082</v>
      </c>
      <c r="U13" s="4">
        <v>7735</v>
      </c>
      <c r="V13" s="4">
        <v>3191</v>
      </c>
      <c r="W13" s="4">
        <v>1723</v>
      </c>
      <c r="X13" s="4">
        <v>1037</v>
      </c>
      <c r="Y13" s="4">
        <v>590</v>
      </c>
      <c r="Z13" s="4">
        <v>455</v>
      </c>
      <c r="AA13" s="4">
        <v>308</v>
      </c>
      <c r="AB13" s="4">
        <v>188</v>
      </c>
      <c r="AC13">
        <v>229</v>
      </c>
    </row>
    <row r="14" spans="1:29" x14ac:dyDescent="0.4">
      <c r="A14">
        <v>2004</v>
      </c>
      <c r="B14" s="4">
        <v>53403</v>
      </c>
      <c r="C14" s="1">
        <v>3.3330768131808668</v>
      </c>
      <c r="D14" s="29"/>
      <c r="E14" s="4">
        <v>1205</v>
      </c>
      <c r="F14" s="4">
        <v>12004</v>
      </c>
      <c r="G14" s="4">
        <v>18145</v>
      </c>
      <c r="H14" s="4">
        <v>11399</v>
      </c>
      <c r="I14" s="4">
        <v>4618</v>
      </c>
      <c r="J14" s="4">
        <v>2140</v>
      </c>
      <c r="K14" s="4">
        <v>1170</v>
      </c>
      <c r="L14" s="4">
        <v>693</v>
      </c>
      <c r="M14" s="4">
        <v>576</v>
      </c>
      <c r="N14" s="4">
        <v>419</v>
      </c>
      <c r="O14" s="4">
        <v>344</v>
      </c>
      <c r="P14" s="4">
        <v>690</v>
      </c>
      <c r="Q14" s="4">
        <v>44</v>
      </c>
      <c r="R14" s="4">
        <v>5009</v>
      </c>
      <c r="S14" s="4">
        <v>16785</v>
      </c>
      <c r="T14" s="4">
        <v>16354</v>
      </c>
      <c r="U14" s="4">
        <v>7803</v>
      </c>
      <c r="V14" s="4">
        <v>3048</v>
      </c>
      <c r="W14" s="4">
        <v>1621</v>
      </c>
      <c r="X14" s="4">
        <v>1038</v>
      </c>
      <c r="Y14" s="4">
        <v>633</v>
      </c>
      <c r="Z14" s="4">
        <v>392</v>
      </c>
      <c r="AA14" s="4">
        <v>297</v>
      </c>
      <c r="AB14" s="4">
        <v>197</v>
      </c>
      <c r="AC14">
        <v>182</v>
      </c>
    </row>
    <row r="15" spans="1:29" x14ac:dyDescent="0.4">
      <c r="A15">
        <v>2005</v>
      </c>
      <c r="B15" s="4">
        <v>53842</v>
      </c>
      <c r="C15" s="1">
        <v>3.3269710876313505</v>
      </c>
      <c r="D15" s="29"/>
      <c r="E15" s="4">
        <v>1075</v>
      </c>
      <c r="F15" s="4">
        <v>11486</v>
      </c>
      <c r="G15" s="4">
        <v>18326</v>
      </c>
      <c r="H15" s="4">
        <v>11898</v>
      </c>
      <c r="I15" s="4">
        <v>4775</v>
      </c>
      <c r="J15" s="4">
        <v>2335</v>
      </c>
      <c r="K15" s="4">
        <v>1205</v>
      </c>
      <c r="L15" s="4">
        <v>673</v>
      </c>
      <c r="M15" s="4">
        <v>542</v>
      </c>
      <c r="N15" s="4">
        <v>443</v>
      </c>
      <c r="O15" s="4">
        <v>354</v>
      </c>
      <c r="P15" s="4">
        <v>730</v>
      </c>
      <c r="Q15" s="4">
        <v>1</v>
      </c>
      <c r="R15" s="4">
        <v>4690</v>
      </c>
      <c r="S15" s="4">
        <v>16227</v>
      </c>
      <c r="T15" s="4">
        <v>16893</v>
      </c>
      <c r="U15" s="4">
        <v>8262</v>
      </c>
      <c r="V15" s="4">
        <v>3340</v>
      </c>
      <c r="W15" s="4">
        <v>1600</v>
      </c>
      <c r="X15" s="4">
        <v>1030</v>
      </c>
      <c r="Y15" s="4">
        <v>629</v>
      </c>
      <c r="Z15" s="4">
        <v>431</v>
      </c>
      <c r="AA15" s="4">
        <v>306</v>
      </c>
      <c r="AB15" s="4">
        <v>196</v>
      </c>
      <c r="AC15">
        <v>237</v>
      </c>
    </row>
    <row r="16" spans="1:29" x14ac:dyDescent="0.4">
      <c r="A16">
        <v>2006</v>
      </c>
      <c r="B16" s="4">
        <v>58155</v>
      </c>
      <c r="C16" s="1">
        <v>3.5573398157193377</v>
      </c>
      <c r="D16" s="29"/>
      <c r="E16" s="4">
        <v>1152</v>
      </c>
      <c r="F16" s="4">
        <v>11884</v>
      </c>
      <c r="G16" s="4">
        <v>19373</v>
      </c>
      <c r="H16" s="4">
        <v>12702</v>
      </c>
      <c r="I16" s="4">
        <v>5946</v>
      </c>
      <c r="J16" s="4">
        <v>2402</v>
      </c>
      <c r="K16" s="4">
        <v>1378</v>
      </c>
      <c r="L16" s="4">
        <v>871</v>
      </c>
      <c r="M16" s="4">
        <v>649</v>
      </c>
      <c r="N16" s="4">
        <v>528</v>
      </c>
      <c r="O16" s="4">
        <v>436</v>
      </c>
      <c r="P16" s="4">
        <v>834</v>
      </c>
      <c r="Q16" s="4"/>
      <c r="R16" s="4">
        <v>4523</v>
      </c>
      <c r="S16" s="4">
        <v>16875</v>
      </c>
      <c r="T16" s="4">
        <v>18348</v>
      </c>
      <c r="U16" s="4">
        <v>8929</v>
      </c>
      <c r="V16" s="4">
        <v>4297</v>
      </c>
      <c r="W16" s="4">
        <v>1882</v>
      </c>
      <c r="X16" s="4">
        <v>1159</v>
      </c>
      <c r="Y16" s="4">
        <v>800</v>
      </c>
      <c r="Z16" s="4">
        <v>502</v>
      </c>
      <c r="AA16" s="4">
        <v>355</v>
      </c>
      <c r="AB16" s="4">
        <v>239</v>
      </c>
      <c r="AC16">
        <v>246</v>
      </c>
    </row>
    <row r="17" spans="1:29" x14ac:dyDescent="0.4">
      <c r="A17">
        <v>2007</v>
      </c>
      <c r="B17" s="4">
        <v>57792</v>
      </c>
      <c r="C17" s="1">
        <v>3.4987428511787764</v>
      </c>
      <c r="D17" s="29"/>
      <c r="E17" s="4">
        <v>1099</v>
      </c>
      <c r="F17" s="4">
        <v>10867</v>
      </c>
      <c r="G17" s="4">
        <v>19267</v>
      </c>
      <c r="H17" s="4">
        <v>12739</v>
      </c>
      <c r="I17" s="4">
        <v>5488</v>
      </c>
      <c r="J17" s="4">
        <v>2747</v>
      </c>
      <c r="K17" s="4">
        <v>1582</v>
      </c>
      <c r="L17" s="4">
        <v>1047</v>
      </c>
      <c r="M17" s="4">
        <v>823</v>
      </c>
      <c r="N17" s="4">
        <v>660</v>
      </c>
      <c r="O17" s="4">
        <v>552</v>
      </c>
      <c r="P17" s="4">
        <v>921</v>
      </c>
      <c r="Q17" s="4"/>
      <c r="R17" s="4">
        <v>4186</v>
      </c>
      <c r="S17" s="4">
        <v>15611</v>
      </c>
      <c r="T17" s="4">
        <v>18878</v>
      </c>
      <c r="U17" s="4">
        <v>9111</v>
      </c>
      <c r="V17" s="4">
        <v>3793</v>
      </c>
      <c r="W17" s="4">
        <v>2037</v>
      </c>
      <c r="X17" s="4">
        <v>1483</v>
      </c>
      <c r="Y17" s="4">
        <v>1024</v>
      </c>
      <c r="Z17" s="4">
        <v>672</v>
      </c>
      <c r="AA17" s="4">
        <v>450</v>
      </c>
      <c r="AB17" s="4">
        <v>299</v>
      </c>
      <c r="AC17">
        <v>248</v>
      </c>
    </row>
    <row r="18" spans="1:29" x14ac:dyDescent="0.4">
      <c r="A18">
        <v>2008</v>
      </c>
      <c r="B18" s="4">
        <v>56112</v>
      </c>
      <c r="C18" s="1">
        <v>3.3604519506036561</v>
      </c>
      <c r="D18" s="29"/>
      <c r="E18" s="4">
        <v>1011</v>
      </c>
      <c r="F18" s="4">
        <v>9803</v>
      </c>
      <c r="G18" s="4">
        <v>18500</v>
      </c>
      <c r="H18" s="4">
        <v>12338</v>
      </c>
      <c r="I18" s="4">
        <v>5684</v>
      </c>
      <c r="J18" s="4">
        <v>2873</v>
      </c>
      <c r="K18" s="4">
        <v>1671</v>
      </c>
      <c r="L18" s="4">
        <v>1138</v>
      </c>
      <c r="M18" s="4">
        <v>882</v>
      </c>
      <c r="N18" s="4">
        <v>734</v>
      </c>
      <c r="O18" s="4">
        <v>522</v>
      </c>
      <c r="P18" s="4">
        <v>956</v>
      </c>
      <c r="Q18" s="4"/>
      <c r="R18" s="4">
        <v>3615</v>
      </c>
      <c r="S18" s="4">
        <v>14286</v>
      </c>
      <c r="T18" s="4">
        <v>18567</v>
      </c>
      <c r="U18" s="4">
        <v>9133</v>
      </c>
      <c r="V18" s="4">
        <v>3957</v>
      </c>
      <c r="W18" s="4">
        <v>2160</v>
      </c>
      <c r="X18" s="4">
        <v>1583</v>
      </c>
      <c r="Y18" s="4">
        <v>1101</v>
      </c>
      <c r="Z18" s="4">
        <v>709</v>
      </c>
      <c r="AA18" s="4">
        <v>467</v>
      </c>
      <c r="AB18" s="4">
        <v>250</v>
      </c>
      <c r="AC18">
        <v>284</v>
      </c>
    </row>
    <row r="19" spans="1:29" x14ac:dyDescent="0.4">
      <c r="A19">
        <v>2009</v>
      </c>
      <c r="B19" s="4">
        <v>56127</v>
      </c>
      <c r="C19" s="1">
        <v>3.3248469084734995</v>
      </c>
      <c r="D19" s="29"/>
      <c r="E19" s="4">
        <v>937</v>
      </c>
      <c r="F19" s="4">
        <v>8619</v>
      </c>
      <c r="G19" s="4">
        <v>17060</v>
      </c>
      <c r="H19" s="4">
        <v>12015</v>
      </c>
      <c r="I19" s="4">
        <v>6021</v>
      </c>
      <c r="J19" s="4">
        <v>3224</v>
      </c>
      <c r="K19" s="4">
        <v>2211</v>
      </c>
      <c r="L19" s="4">
        <v>1647</v>
      </c>
      <c r="M19" s="4">
        <v>1325</v>
      </c>
      <c r="N19" s="4">
        <v>1030</v>
      </c>
      <c r="O19" s="4">
        <v>815</v>
      </c>
      <c r="P19" s="4">
        <v>1223</v>
      </c>
      <c r="Q19" s="4"/>
      <c r="R19" s="4">
        <v>3080</v>
      </c>
      <c r="S19" s="4">
        <v>12904</v>
      </c>
      <c r="T19" s="4">
        <v>17284</v>
      </c>
      <c r="U19" s="4">
        <v>9306</v>
      </c>
      <c r="V19" s="4">
        <v>4651</v>
      </c>
      <c r="W19" s="4">
        <v>2658</v>
      </c>
      <c r="X19" s="4">
        <v>2184</v>
      </c>
      <c r="Y19" s="4">
        <v>1603</v>
      </c>
      <c r="Z19" s="4">
        <v>1073</v>
      </c>
      <c r="AA19" s="4">
        <v>625</v>
      </c>
      <c r="AB19" s="4">
        <v>402</v>
      </c>
      <c r="AC19">
        <v>357</v>
      </c>
    </row>
    <row r="20" spans="1:29" x14ac:dyDescent="0.4">
      <c r="A20">
        <v>2010</v>
      </c>
      <c r="B20" s="4">
        <v>60362</v>
      </c>
      <c r="C20" s="1">
        <v>3.5374037875337838</v>
      </c>
      <c r="D20" s="29"/>
      <c r="E20" s="4">
        <v>759</v>
      </c>
      <c r="F20" s="4">
        <v>8605</v>
      </c>
      <c r="G20" s="4">
        <v>17040</v>
      </c>
      <c r="H20" s="4">
        <v>12783</v>
      </c>
      <c r="I20" s="4">
        <v>7234</v>
      </c>
      <c r="J20" s="4">
        <v>3956</v>
      </c>
      <c r="K20" s="4">
        <v>2799</v>
      </c>
      <c r="L20" s="4">
        <v>2104</v>
      </c>
      <c r="M20" s="4">
        <v>1594</v>
      </c>
      <c r="N20" s="4">
        <v>1240</v>
      </c>
      <c r="O20" s="4">
        <v>949</v>
      </c>
      <c r="P20" s="4">
        <v>1299</v>
      </c>
      <c r="Q20" s="4"/>
      <c r="R20" s="4">
        <v>2709</v>
      </c>
      <c r="S20" s="4">
        <v>12721</v>
      </c>
      <c r="T20" s="4">
        <v>18168</v>
      </c>
      <c r="U20" s="4">
        <v>10331</v>
      </c>
      <c r="V20" s="4">
        <v>5583</v>
      </c>
      <c r="W20" s="4">
        <v>3296</v>
      </c>
      <c r="X20" s="4">
        <v>2755</v>
      </c>
      <c r="Y20" s="4">
        <v>1964</v>
      </c>
      <c r="Z20" s="4">
        <v>1233</v>
      </c>
      <c r="AA20" s="4">
        <v>798</v>
      </c>
      <c r="AB20" s="4">
        <v>427</v>
      </c>
      <c r="AC20" s="4">
        <v>377</v>
      </c>
    </row>
    <row r="21" spans="1:29" x14ac:dyDescent="0.4">
      <c r="A21">
        <v>2011</v>
      </c>
      <c r="B21" s="4">
        <v>64768</v>
      </c>
      <c r="C21" s="1">
        <v>3.7537616292976086</v>
      </c>
      <c r="D21" s="29"/>
      <c r="E21" s="4">
        <v>446</v>
      </c>
      <c r="F21" s="4">
        <v>7736</v>
      </c>
      <c r="G21" s="4">
        <v>17155</v>
      </c>
      <c r="H21" s="4">
        <v>14945</v>
      </c>
      <c r="I21" s="4">
        <v>8437</v>
      </c>
      <c r="J21" s="4">
        <v>4768</v>
      </c>
      <c r="K21" s="4">
        <v>3270</v>
      </c>
      <c r="L21" s="4">
        <v>2421</v>
      </c>
      <c r="M21" s="4">
        <v>1824</v>
      </c>
      <c r="N21" s="4">
        <v>1412</v>
      </c>
      <c r="O21" s="4">
        <v>1002</v>
      </c>
      <c r="P21" s="4">
        <v>1352</v>
      </c>
      <c r="Q21" s="4"/>
      <c r="R21" s="4">
        <v>1884</v>
      </c>
      <c r="S21" s="4">
        <v>12013</v>
      </c>
      <c r="T21" s="4">
        <v>19085</v>
      </c>
      <c r="U21" s="4">
        <v>12679</v>
      </c>
      <c r="V21" s="4">
        <v>6714</v>
      </c>
      <c r="W21" s="4">
        <v>3876</v>
      </c>
      <c r="X21" s="4">
        <v>2954</v>
      </c>
      <c r="Y21" s="4">
        <v>2293</v>
      </c>
      <c r="Z21" s="4">
        <v>1463</v>
      </c>
      <c r="AA21" s="4">
        <v>891</v>
      </c>
      <c r="AB21" s="4">
        <v>478</v>
      </c>
      <c r="AC21" s="4">
        <v>438</v>
      </c>
    </row>
    <row r="22" spans="1:29" x14ac:dyDescent="0.4">
      <c r="A22">
        <v>2012</v>
      </c>
      <c r="B22" s="4">
        <v>63736</v>
      </c>
      <c r="C22" s="1">
        <v>3.6538557562818128</v>
      </c>
      <c r="D22" s="29"/>
      <c r="E22" s="4">
        <v>673</v>
      </c>
      <c r="F22" s="4">
        <v>8245</v>
      </c>
      <c r="G22" s="4">
        <v>16431</v>
      </c>
      <c r="H22" s="4">
        <v>14022</v>
      </c>
      <c r="I22" s="4">
        <v>8079</v>
      </c>
      <c r="J22" s="4">
        <v>4645</v>
      </c>
      <c r="K22" s="4">
        <v>3438</v>
      </c>
      <c r="L22" s="4">
        <v>2593</v>
      </c>
      <c r="M22" s="4">
        <v>1979</v>
      </c>
      <c r="N22" s="4">
        <v>1428</v>
      </c>
      <c r="O22" s="4">
        <v>951</v>
      </c>
      <c r="P22" s="4">
        <v>1252</v>
      </c>
      <c r="Q22" s="4"/>
      <c r="R22" s="4">
        <v>2374</v>
      </c>
      <c r="S22" s="4">
        <v>12098</v>
      </c>
      <c r="T22" s="4">
        <v>18087</v>
      </c>
      <c r="U22" s="4">
        <v>12004</v>
      </c>
      <c r="V22" s="4">
        <v>6392</v>
      </c>
      <c r="W22" s="4">
        <v>4013</v>
      </c>
      <c r="X22" s="4">
        <v>3101</v>
      </c>
      <c r="Y22" s="4">
        <v>2313</v>
      </c>
      <c r="Z22" s="4">
        <v>1571</v>
      </c>
      <c r="AA22" s="4">
        <v>873</v>
      </c>
      <c r="AB22" s="4">
        <v>500</v>
      </c>
      <c r="AC22" s="4">
        <v>410</v>
      </c>
    </row>
    <row r="23" spans="1:29" x14ac:dyDescent="0.4">
      <c r="A23">
        <v>2013</v>
      </c>
      <c r="B23" s="4">
        <v>61446</v>
      </c>
      <c r="C23" s="1">
        <v>3.4888906377062514</v>
      </c>
      <c r="D23" s="29"/>
      <c r="E23" s="4">
        <v>601</v>
      </c>
      <c r="F23" s="4">
        <v>7339</v>
      </c>
      <c r="G23" s="4">
        <v>15418</v>
      </c>
      <c r="H23" s="4">
        <v>13921</v>
      </c>
      <c r="I23" s="4">
        <v>7886</v>
      </c>
      <c r="J23" s="4">
        <v>4758</v>
      </c>
      <c r="K23" s="4">
        <v>3436</v>
      </c>
      <c r="L23" s="4">
        <v>2611</v>
      </c>
      <c r="M23" s="4">
        <v>1842</v>
      </c>
      <c r="N23" s="4">
        <v>1428</v>
      </c>
      <c r="O23" s="4">
        <v>1007</v>
      </c>
      <c r="P23" s="4">
        <v>1199</v>
      </c>
      <c r="Q23" s="4"/>
      <c r="R23" s="4">
        <v>1912</v>
      </c>
      <c r="S23" s="4">
        <v>10998</v>
      </c>
      <c r="T23" s="4">
        <v>17115</v>
      </c>
      <c r="U23" s="4">
        <v>12242</v>
      </c>
      <c r="V23" s="4">
        <v>6399</v>
      </c>
      <c r="W23" s="4">
        <v>4047</v>
      </c>
      <c r="X23" s="4">
        <v>3061</v>
      </c>
      <c r="Y23" s="4">
        <v>2358</v>
      </c>
      <c r="Z23" s="4">
        <v>1557</v>
      </c>
      <c r="AA23" s="4">
        <v>879</v>
      </c>
      <c r="AB23" s="4">
        <v>476</v>
      </c>
      <c r="AC23" s="4">
        <v>402</v>
      </c>
    </row>
    <row r="24" spans="1:29" x14ac:dyDescent="0.4">
      <c r="A24">
        <v>2014</v>
      </c>
      <c r="B24" s="4">
        <v>64868</v>
      </c>
      <c r="C24" s="1">
        <v>3.6468066520658726</v>
      </c>
      <c r="D24" s="29"/>
      <c r="E24" s="4">
        <v>485</v>
      </c>
      <c r="F24" s="4">
        <v>7203</v>
      </c>
      <c r="G24" s="4">
        <v>16059</v>
      </c>
      <c r="H24" s="4">
        <v>14342</v>
      </c>
      <c r="I24" s="4">
        <v>8471</v>
      </c>
      <c r="J24" s="4">
        <v>5292</v>
      </c>
      <c r="K24" s="4">
        <v>3611</v>
      </c>
      <c r="L24" s="4">
        <v>2959</v>
      </c>
      <c r="M24" s="4">
        <v>2243</v>
      </c>
      <c r="N24" s="4">
        <v>1736</v>
      </c>
      <c r="O24" s="4">
        <v>1091</v>
      </c>
      <c r="P24" s="4">
        <v>1376</v>
      </c>
      <c r="Q24" s="4"/>
      <c r="R24" s="4">
        <v>1670</v>
      </c>
      <c r="S24" s="4">
        <v>10588</v>
      </c>
      <c r="T24" s="4">
        <v>18341</v>
      </c>
      <c r="U24" s="4">
        <v>12968</v>
      </c>
      <c r="V24" s="4">
        <v>6781</v>
      </c>
      <c r="W24" s="4">
        <v>4480</v>
      </c>
      <c r="X24" s="4">
        <v>3376</v>
      </c>
      <c r="Y24" s="4">
        <v>2748</v>
      </c>
      <c r="Z24" s="4">
        <v>1745</v>
      </c>
      <c r="AA24" s="4">
        <v>1134</v>
      </c>
      <c r="AB24" s="4">
        <v>589</v>
      </c>
      <c r="AC24" s="4">
        <v>448</v>
      </c>
    </row>
    <row r="25" spans="1:29" x14ac:dyDescent="0.4">
      <c r="A25">
        <v>2015</v>
      </c>
      <c r="B25" s="4">
        <v>61744</v>
      </c>
      <c r="C25" s="1">
        <v>3.4356767407900866</v>
      </c>
      <c r="D25" s="29"/>
      <c r="E25" s="4">
        <v>384</v>
      </c>
      <c r="F25" s="4">
        <v>6368</v>
      </c>
      <c r="G25" s="4">
        <v>15277</v>
      </c>
      <c r="H25" s="4">
        <v>14014</v>
      </c>
      <c r="I25" s="4">
        <v>8094</v>
      </c>
      <c r="J25" s="4">
        <v>5221</v>
      </c>
      <c r="K25" s="4">
        <v>3534</v>
      </c>
      <c r="L25" s="4">
        <v>2821</v>
      </c>
      <c r="M25" s="4">
        <v>2137</v>
      </c>
      <c r="N25" s="4">
        <v>1543</v>
      </c>
      <c r="O25" s="4">
        <v>1117</v>
      </c>
      <c r="P25" s="4">
        <v>1234</v>
      </c>
      <c r="Q25" s="4"/>
      <c r="R25" s="4">
        <v>1423</v>
      </c>
      <c r="S25" s="4">
        <v>9550</v>
      </c>
      <c r="T25" s="4">
        <v>17368</v>
      </c>
      <c r="U25" s="4">
        <v>12639</v>
      </c>
      <c r="V25" s="4">
        <v>6703</v>
      </c>
      <c r="W25" s="4">
        <v>4430</v>
      </c>
      <c r="X25" s="4">
        <v>3382</v>
      </c>
      <c r="Y25" s="4">
        <v>2529</v>
      </c>
      <c r="Z25" s="4">
        <v>1696</v>
      </c>
      <c r="AA25" s="4">
        <v>1013</v>
      </c>
      <c r="AB25" s="4">
        <v>548</v>
      </c>
      <c r="AC25" s="4">
        <v>463</v>
      </c>
    </row>
    <row r="26" spans="1:29" x14ac:dyDescent="0.4">
      <c r="A26">
        <v>2016</v>
      </c>
      <c r="B26" s="4">
        <v>62464</v>
      </c>
      <c r="C26" s="1">
        <v>3.4382944113349225</v>
      </c>
      <c r="D26" s="29"/>
      <c r="E26" s="4">
        <v>349</v>
      </c>
      <c r="F26" s="4">
        <v>5741</v>
      </c>
      <c r="G26" s="4">
        <v>14963</v>
      </c>
      <c r="H26" s="4">
        <v>13908</v>
      </c>
      <c r="I26" s="4">
        <v>8289</v>
      </c>
      <c r="J26" s="4">
        <v>5450</v>
      </c>
      <c r="K26" s="4">
        <v>3804</v>
      </c>
      <c r="L26" s="4">
        <v>3076</v>
      </c>
      <c r="M26" s="4">
        <v>2336</v>
      </c>
      <c r="N26" s="4">
        <v>1818</v>
      </c>
      <c r="O26" s="4">
        <v>1220</v>
      </c>
      <c r="P26" s="4">
        <v>1510</v>
      </c>
      <c r="Q26" s="4"/>
      <c r="R26" s="4">
        <v>1217</v>
      </c>
      <c r="S26" s="4">
        <v>8796</v>
      </c>
      <c r="T26" s="4">
        <v>17161</v>
      </c>
      <c r="U26" s="4">
        <v>12785</v>
      </c>
      <c r="V26" s="4">
        <v>7056</v>
      </c>
      <c r="W26" s="4">
        <v>4703</v>
      </c>
      <c r="X26" s="4">
        <v>3481</v>
      </c>
      <c r="Y26" s="4">
        <v>2925</v>
      </c>
      <c r="Z26" s="4">
        <v>1960</v>
      </c>
      <c r="AA26" s="4">
        <v>1229</v>
      </c>
      <c r="AB26" s="4">
        <v>606</v>
      </c>
      <c r="AC26" s="4">
        <v>545</v>
      </c>
    </row>
    <row r="27" spans="1:29" x14ac:dyDescent="0.4">
      <c r="A27">
        <v>2017</v>
      </c>
      <c r="B27" s="4">
        <v>61320</v>
      </c>
      <c r="C27" s="1">
        <v>3.329136261786076</v>
      </c>
      <c r="D27" s="29"/>
      <c r="E27" s="4">
        <v>344</v>
      </c>
      <c r="F27" s="4">
        <v>5209</v>
      </c>
      <c r="G27" s="4">
        <v>14123</v>
      </c>
      <c r="H27" s="4">
        <v>13447</v>
      </c>
      <c r="I27" s="4">
        <v>8820</v>
      </c>
      <c r="J27" s="4">
        <v>5506</v>
      </c>
      <c r="K27" s="4">
        <v>3937</v>
      </c>
      <c r="L27" s="4">
        <v>3141</v>
      </c>
      <c r="M27" s="4">
        <v>2392</v>
      </c>
      <c r="N27" s="4">
        <v>1802</v>
      </c>
      <c r="O27" s="4">
        <v>1191</v>
      </c>
      <c r="P27" s="4">
        <v>1408</v>
      </c>
      <c r="Q27" s="4"/>
      <c r="R27" s="4">
        <v>1121</v>
      </c>
      <c r="S27" s="4">
        <v>8189</v>
      </c>
      <c r="T27" s="4">
        <v>16368</v>
      </c>
      <c r="U27" s="4">
        <v>12664</v>
      </c>
      <c r="V27" s="4">
        <v>7296</v>
      </c>
      <c r="W27" s="4">
        <v>4767</v>
      </c>
      <c r="X27" s="4">
        <v>3619</v>
      </c>
      <c r="Y27" s="4">
        <v>2910</v>
      </c>
      <c r="Z27" s="4">
        <v>1952</v>
      </c>
      <c r="AA27" s="4">
        <v>1247</v>
      </c>
      <c r="AB27" s="4">
        <v>644</v>
      </c>
      <c r="AC27" s="4">
        <v>543</v>
      </c>
    </row>
    <row r="28" spans="1:29" x14ac:dyDescent="0.4">
      <c r="A28">
        <v>2018</v>
      </c>
      <c r="B28" s="4">
        <v>63187</v>
      </c>
      <c r="C28" s="1">
        <v>3.36972082891922</v>
      </c>
      <c r="D28" s="29"/>
      <c r="E28" s="4">
        <v>276</v>
      </c>
      <c r="F28" s="4">
        <v>4882</v>
      </c>
      <c r="G28" s="4">
        <v>14140</v>
      </c>
      <c r="H28" s="4">
        <v>14493</v>
      </c>
      <c r="I28" s="4">
        <v>9361</v>
      </c>
      <c r="J28" s="4">
        <v>5797</v>
      </c>
      <c r="K28" s="4">
        <v>4038</v>
      </c>
      <c r="L28" s="4">
        <v>3163</v>
      </c>
      <c r="M28" s="4">
        <v>2516</v>
      </c>
      <c r="N28" s="4">
        <v>1826</v>
      </c>
      <c r="O28" s="4">
        <v>1279</v>
      </c>
      <c r="P28" s="4">
        <v>1416</v>
      </c>
      <c r="Q28" s="4"/>
      <c r="R28" s="4">
        <v>920</v>
      </c>
      <c r="S28" s="4">
        <v>7813</v>
      </c>
      <c r="T28" s="4">
        <v>16842</v>
      </c>
      <c r="U28" s="4">
        <v>13394</v>
      </c>
      <c r="V28" s="4">
        <v>7895</v>
      </c>
      <c r="W28" s="4">
        <v>4991</v>
      </c>
      <c r="X28" s="4">
        <v>3829</v>
      </c>
      <c r="Y28" s="4">
        <v>2883</v>
      </c>
      <c r="Z28" s="4">
        <v>2113</v>
      </c>
      <c r="AA28" s="4">
        <v>1251</v>
      </c>
      <c r="AB28" s="4">
        <v>665</v>
      </c>
      <c r="AC28" s="4">
        <v>591</v>
      </c>
    </row>
    <row r="29" spans="1:29" x14ac:dyDescent="0.4">
      <c r="A29">
        <v>2019</v>
      </c>
      <c r="B29" s="4">
        <v>61596</v>
      </c>
      <c r="C29" s="1">
        <v>3.2237035473927755</v>
      </c>
      <c r="D29" s="29"/>
      <c r="E29" s="4">
        <v>235</v>
      </c>
      <c r="F29" s="4">
        <v>4190</v>
      </c>
      <c r="G29" s="4">
        <v>13191</v>
      </c>
      <c r="H29" s="4">
        <v>14416</v>
      </c>
      <c r="I29" s="4">
        <v>9441</v>
      </c>
      <c r="J29" s="4">
        <v>5839</v>
      </c>
      <c r="K29" s="4">
        <v>4124</v>
      </c>
      <c r="L29" s="4">
        <v>3110</v>
      </c>
      <c r="M29" s="4">
        <v>2522</v>
      </c>
      <c r="N29" s="4">
        <v>1821</v>
      </c>
      <c r="O29" s="4">
        <v>1313</v>
      </c>
      <c r="P29" s="4">
        <v>1394</v>
      </c>
      <c r="Q29" s="4"/>
      <c r="R29" s="4">
        <v>714</v>
      </c>
      <c r="S29" s="4">
        <v>7346</v>
      </c>
      <c r="T29" s="4">
        <v>15398</v>
      </c>
      <c r="U29" s="4">
        <v>13618</v>
      </c>
      <c r="V29" s="4">
        <v>8284</v>
      </c>
      <c r="W29" s="4">
        <v>4978</v>
      </c>
      <c r="X29" s="4">
        <v>3849</v>
      </c>
      <c r="Y29" s="4">
        <v>2788</v>
      </c>
      <c r="Z29" s="4">
        <v>2076</v>
      </c>
      <c r="AA29" s="4">
        <v>1289</v>
      </c>
      <c r="AB29" s="4">
        <v>674</v>
      </c>
      <c r="AC29" s="4">
        <v>582</v>
      </c>
    </row>
    <row r="30" spans="1:29" x14ac:dyDescent="0.4">
      <c r="A30">
        <v>2020</v>
      </c>
      <c r="B30" s="4">
        <v>37647</v>
      </c>
      <c r="C30" s="1">
        <v>1.9347517847130611</v>
      </c>
      <c r="D30" s="29"/>
      <c r="E30" s="4">
        <v>146</v>
      </c>
      <c r="F30" s="4">
        <v>2656</v>
      </c>
      <c r="G30" s="4">
        <v>8072</v>
      </c>
      <c r="H30" s="4">
        <v>8887</v>
      </c>
      <c r="I30" s="4">
        <v>5593</v>
      </c>
      <c r="J30" s="4">
        <v>3447</v>
      </c>
      <c r="K30" s="4">
        <v>2559</v>
      </c>
      <c r="L30" s="4">
        <v>1829</v>
      </c>
      <c r="M30" s="4">
        <v>1533</v>
      </c>
      <c r="N30" s="4">
        <v>1200</v>
      </c>
      <c r="O30" s="4">
        <v>837</v>
      </c>
      <c r="P30" s="4">
        <v>888</v>
      </c>
      <c r="Q30" s="4"/>
      <c r="R30" s="4">
        <v>487</v>
      </c>
      <c r="S30" s="4">
        <v>4190</v>
      </c>
      <c r="T30" s="4">
        <v>9383</v>
      </c>
      <c r="U30" s="4">
        <v>8510</v>
      </c>
      <c r="V30" s="4">
        <v>5079</v>
      </c>
      <c r="W30" s="4">
        <v>3011</v>
      </c>
      <c r="X30" s="4">
        <v>2404</v>
      </c>
      <c r="Y30" s="4">
        <v>1751</v>
      </c>
      <c r="Z30" s="4">
        <v>1247</v>
      </c>
      <c r="AA30" s="4">
        <v>819</v>
      </c>
      <c r="AB30" s="4">
        <v>406</v>
      </c>
      <c r="AC30" s="4">
        <v>360</v>
      </c>
    </row>
    <row r="31" spans="1:29" x14ac:dyDescent="0.4">
      <c r="A31">
        <v>2021</v>
      </c>
      <c r="B31" s="4">
        <v>53255</v>
      </c>
      <c r="C31" s="1">
        <v>2.706271858080878</v>
      </c>
      <c r="D31" s="29"/>
      <c r="E31" s="4">
        <v>141</v>
      </c>
      <c r="F31" s="4">
        <v>3023</v>
      </c>
      <c r="G31" s="4">
        <v>10320</v>
      </c>
      <c r="H31" s="4">
        <v>13315</v>
      </c>
      <c r="I31" s="4">
        <v>8709</v>
      </c>
      <c r="J31" s="4">
        <v>5273</v>
      </c>
      <c r="K31" s="4">
        <v>3774</v>
      </c>
      <c r="L31" s="4">
        <v>2622</v>
      </c>
      <c r="M31" s="4">
        <v>2250</v>
      </c>
      <c r="N31" s="4">
        <v>1593</v>
      </c>
      <c r="O31" s="4">
        <v>1114</v>
      </c>
      <c r="P31" s="4">
        <v>1121</v>
      </c>
      <c r="Q31" s="4"/>
      <c r="R31" s="4">
        <v>439</v>
      </c>
      <c r="S31" s="4">
        <v>4871</v>
      </c>
      <c r="T31" s="4">
        <v>12536</v>
      </c>
      <c r="U31" s="4">
        <v>13225</v>
      </c>
      <c r="V31" s="4">
        <v>7750</v>
      </c>
      <c r="W31" s="4">
        <v>4610</v>
      </c>
      <c r="X31" s="4">
        <v>3358</v>
      </c>
      <c r="Y31" s="4">
        <v>2438</v>
      </c>
      <c r="Z31" s="4">
        <v>1840</v>
      </c>
      <c r="AA31" s="4">
        <v>1120</v>
      </c>
      <c r="AB31" s="4">
        <v>615</v>
      </c>
      <c r="AC31" s="4">
        <v>453</v>
      </c>
    </row>
    <row r="32" spans="1:29" ht="14.65" x14ac:dyDescent="0.4">
      <c r="A32" s="9" t="s">
        <v>140</v>
      </c>
      <c r="B32" s="4">
        <v>68482</v>
      </c>
      <c r="C32" s="1">
        <v>3.4537046381021157</v>
      </c>
      <c r="D32" s="29"/>
      <c r="E32" s="4"/>
      <c r="F32" s="4"/>
      <c r="G32" s="4"/>
      <c r="H32" s="4"/>
      <c r="I32" s="4"/>
      <c r="J32" s="4"/>
      <c r="K32" s="4"/>
      <c r="L32" s="4"/>
      <c r="M32" s="4"/>
      <c r="N32" s="4"/>
      <c r="O32" s="4"/>
      <c r="P32" s="4"/>
      <c r="Q32" s="4"/>
      <c r="R32" s="4"/>
      <c r="S32" s="4"/>
      <c r="T32" s="4"/>
      <c r="U32" s="4"/>
      <c r="V32" s="4"/>
      <c r="W32" s="4"/>
      <c r="X32" s="4"/>
      <c r="Y32" s="4"/>
      <c r="Z32" s="4"/>
      <c r="AA32" s="4"/>
      <c r="AB32" s="4"/>
      <c r="AC32" s="4"/>
    </row>
    <row r="33" spans="1:29" ht="14.65" x14ac:dyDescent="0.4">
      <c r="A33" s="9" t="s">
        <v>45</v>
      </c>
      <c r="B33" s="4">
        <v>64285</v>
      </c>
      <c r="C33" s="1">
        <v>3.2205479425290124</v>
      </c>
      <c r="D33" s="29"/>
      <c r="E33" s="4"/>
      <c r="F33" s="4"/>
      <c r="G33" s="4"/>
      <c r="H33" s="4"/>
      <c r="I33" s="4"/>
      <c r="J33" s="4"/>
      <c r="K33" s="4"/>
      <c r="L33" s="4"/>
      <c r="M33" s="4"/>
      <c r="N33" s="4"/>
      <c r="O33" s="4"/>
      <c r="P33" s="4"/>
      <c r="Q33" s="4"/>
      <c r="R33" s="4"/>
      <c r="S33" s="4"/>
      <c r="T33" s="4"/>
      <c r="U33" s="4"/>
      <c r="V33" s="4"/>
      <c r="W33" s="4"/>
      <c r="X33" s="4"/>
      <c r="Y33" s="4"/>
      <c r="Z33" s="4"/>
      <c r="AA33" s="4"/>
      <c r="AB33" s="4"/>
      <c r="AC33" s="4"/>
    </row>
    <row r="34" spans="1:29" ht="14.65" x14ac:dyDescent="0.4">
      <c r="A34" s="39" t="s">
        <v>46</v>
      </c>
      <c r="B34" s="4">
        <v>61119</v>
      </c>
      <c r="C34" s="1">
        <v>3</v>
      </c>
      <c r="D34" s="29"/>
      <c r="E34" s="4"/>
      <c r="F34" s="4"/>
      <c r="G34" s="4"/>
      <c r="H34" s="4"/>
      <c r="I34" s="4"/>
      <c r="J34" s="4"/>
      <c r="K34" s="4"/>
      <c r="L34" s="4"/>
      <c r="M34" s="4"/>
      <c r="N34" s="4"/>
      <c r="O34" s="4"/>
      <c r="P34" s="4"/>
      <c r="Q34" s="4"/>
      <c r="R34" s="4"/>
      <c r="S34" s="4"/>
      <c r="T34" s="4"/>
      <c r="U34" s="4"/>
      <c r="V34" s="4"/>
      <c r="W34" s="4"/>
      <c r="X34" s="4"/>
      <c r="Y34" s="4"/>
      <c r="Z34" s="4"/>
      <c r="AA34" s="4"/>
      <c r="AB34" s="4"/>
      <c r="AC34" s="4"/>
    </row>
    <row r="35" spans="1:29" x14ac:dyDescent="0.4">
      <c r="A35" s="9"/>
      <c r="B35" s="4"/>
      <c r="C35" s="1"/>
      <c r="D35" s="29"/>
      <c r="E35" s="4"/>
      <c r="F35" s="4"/>
      <c r="G35" s="4"/>
      <c r="H35" s="4"/>
      <c r="I35" s="4"/>
      <c r="J35" s="4"/>
      <c r="K35" s="4"/>
      <c r="L35" s="4"/>
      <c r="M35" s="4"/>
      <c r="N35" s="4"/>
      <c r="O35" s="4"/>
      <c r="P35" s="4"/>
      <c r="Q35" s="4"/>
      <c r="R35" s="4"/>
      <c r="S35" s="4"/>
      <c r="T35" s="4"/>
      <c r="U35" s="4"/>
      <c r="V35" s="4"/>
      <c r="W35" s="4"/>
      <c r="X35" s="4"/>
      <c r="Y35" s="4"/>
      <c r="Z35" s="4"/>
      <c r="AA35" s="4"/>
      <c r="AB35" s="4"/>
      <c r="AC35" s="4"/>
    </row>
    <row r="36" spans="1:29" x14ac:dyDescent="0.4">
      <c r="A36" s="25" t="s">
        <v>80</v>
      </c>
      <c r="B36" s="4"/>
      <c r="C36" s="4"/>
      <c r="D36" s="4"/>
      <c r="E36" s="4"/>
      <c r="F36" s="4"/>
      <c r="G36" s="4"/>
      <c r="H36" s="1"/>
      <c r="I36" s="9"/>
      <c r="J36" s="9"/>
      <c r="K36" s="9"/>
      <c r="L36" s="9"/>
      <c r="M36" s="9"/>
      <c r="N36" s="9"/>
      <c r="O36" s="9"/>
      <c r="P36" s="9"/>
      <c r="Q36" s="9"/>
      <c r="R36" s="9"/>
      <c r="S36" s="9"/>
      <c r="T36" s="4"/>
    </row>
    <row r="37" spans="1:29" x14ac:dyDescent="0.4">
      <c r="A37" t="s">
        <v>81</v>
      </c>
    </row>
    <row r="38" spans="1:29" x14ac:dyDescent="0.4">
      <c r="A38" s="7" t="s">
        <v>141</v>
      </c>
      <c r="B38" s="6"/>
      <c r="P38" s="4"/>
      <c r="Q38" s="4"/>
    </row>
    <row r="39" spans="1:29" x14ac:dyDescent="0.4">
      <c r="P39" s="4"/>
      <c r="Q39" s="4"/>
    </row>
    <row r="40" spans="1:29" x14ac:dyDescent="0.4">
      <c r="P40" s="4"/>
      <c r="Q40" s="4"/>
    </row>
    <row r="41" spans="1:29" x14ac:dyDescent="0.4">
      <c r="P41" s="4"/>
      <c r="Q41" s="4"/>
    </row>
    <row r="42" spans="1:29" x14ac:dyDescent="0.4">
      <c r="P42" s="4"/>
      <c r="Q42" s="4"/>
    </row>
    <row r="43" spans="1:29" x14ac:dyDescent="0.4">
      <c r="P43" s="4"/>
      <c r="Q43" s="4"/>
    </row>
    <row r="44" spans="1:29" x14ac:dyDescent="0.4">
      <c r="P44" s="4"/>
      <c r="Q44" s="4"/>
    </row>
    <row r="45" spans="1:29" x14ac:dyDescent="0.4">
      <c r="P45" s="4"/>
      <c r="Q45" s="4"/>
    </row>
    <row r="46" spans="1:29" x14ac:dyDescent="0.4">
      <c r="P46" s="4"/>
      <c r="Q46" s="4"/>
    </row>
    <row r="47" spans="1:29" x14ac:dyDescent="0.4">
      <c r="P47" s="4"/>
      <c r="Q47" s="4"/>
    </row>
    <row r="48" spans="1:29" x14ac:dyDescent="0.4">
      <c r="P48" s="4"/>
      <c r="Q48" s="4"/>
    </row>
    <row r="49" spans="16:17" x14ac:dyDescent="0.4">
      <c r="P49" s="4"/>
      <c r="Q49" s="4"/>
    </row>
    <row r="50" spans="16:17" x14ac:dyDescent="0.4">
      <c r="P50" s="4"/>
      <c r="Q50" s="4"/>
    </row>
    <row r="51" spans="16:17" x14ac:dyDescent="0.4">
      <c r="P51" s="4"/>
      <c r="Q51" s="4"/>
    </row>
    <row r="52" spans="16:17" x14ac:dyDescent="0.4">
      <c r="P52" s="4"/>
      <c r="Q52" s="4"/>
    </row>
    <row r="53" spans="16:17" x14ac:dyDescent="0.4">
      <c r="P53" s="4"/>
      <c r="Q53" s="4"/>
    </row>
    <row r="54" spans="16:17" x14ac:dyDescent="0.4">
      <c r="P54" s="4"/>
      <c r="Q54" s="4"/>
    </row>
    <row r="55" spans="16:17" x14ac:dyDescent="0.4">
      <c r="P55" s="4"/>
      <c r="Q55"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4"/>
  <sheetViews>
    <sheetView tabSelected="1" workbookViewId="0">
      <selection activeCell="L12" sqref="L12"/>
    </sheetView>
  </sheetViews>
  <sheetFormatPr defaultColWidth="11.42578125" defaultRowHeight="13.15" x14ac:dyDescent="0.4"/>
  <cols>
    <col min="3" max="3" width="12.28515625" bestFit="1" customWidth="1"/>
  </cols>
  <sheetData>
    <row r="1" spans="1:18" ht="43.5" customHeight="1" x14ac:dyDescent="0.4">
      <c r="A1" s="3" t="s">
        <v>28</v>
      </c>
      <c r="B1" s="3" t="s">
        <v>142</v>
      </c>
      <c r="C1" s="3" t="s">
        <v>143</v>
      </c>
      <c r="D1" s="3" t="s">
        <v>144</v>
      </c>
      <c r="E1" s="3" t="s">
        <v>145</v>
      </c>
      <c r="F1" s="3" t="s">
        <v>146</v>
      </c>
      <c r="G1" s="3" t="s">
        <v>147</v>
      </c>
      <c r="H1" s="3" t="s">
        <v>148</v>
      </c>
      <c r="I1" s="3" t="s">
        <v>149</v>
      </c>
    </row>
    <row r="2" spans="1:18" x14ac:dyDescent="0.4">
      <c r="A2">
        <v>2017</v>
      </c>
      <c r="B2" s="4">
        <v>6222</v>
      </c>
      <c r="C2" s="1">
        <f>B2/Fecundidad!B27*10000</f>
        <v>3.3779983399923297</v>
      </c>
      <c r="D2" s="4">
        <v>4947</v>
      </c>
      <c r="E2" s="4">
        <v>4947</v>
      </c>
      <c r="F2" s="4">
        <v>4947</v>
      </c>
      <c r="G2" s="4">
        <f>B2-D2</f>
        <v>1275</v>
      </c>
      <c r="H2" s="4">
        <v>613</v>
      </c>
      <c r="I2" s="4">
        <v>662</v>
      </c>
    </row>
    <row r="3" spans="1:18" x14ac:dyDescent="0.4">
      <c r="A3">
        <v>2018</v>
      </c>
      <c r="B3" s="4">
        <v>7256</v>
      </c>
      <c r="C3" s="1">
        <f>B3/Fecundidad!B28*10000</f>
        <v>3.8695767063854682</v>
      </c>
      <c r="D3" s="4">
        <v>5773</v>
      </c>
      <c r="E3" s="4">
        <v>5773</v>
      </c>
      <c r="F3" s="4">
        <v>5773</v>
      </c>
      <c r="G3" s="4">
        <f t="shared" ref="G3:G6" si="0">B3-D3</f>
        <v>1483</v>
      </c>
      <c r="H3" s="4">
        <v>743</v>
      </c>
      <c r="I3" s="4">
        <v>740</v>
      </c>
    </row>
    <row r="4" spans="1:18" x14ac:dyDescent="0.4">
      <c r="A4">
        <v>2019</v>
      </c>
      <c r="B4" s="4">
        <v>8149</v>
      </c>
      <c r="C4" s="1">
        <f>B4/Fecundidad!B29*10000</f>
        <v>4.2648808701382768</v>
      </c>
      <c r="D4" s="4">
        <v>6555</v>
      </c>
      <c r="E4" s="4">
        <v>6555</v>
      </c>
      <c r="F4" s="4">
        <v>6555</v>
      </c>
      <c r="G4" s="4">
        <f t="shared" si="0"/>
        <v>1594</v>
      </c>
      <c r="H4" s="4">
        <v>743</v>
      </c>
      <c r="I4" s="4">
        <v>851</v>
      </c>
    </row>
    <row r="5" spans="1:18" x14ac:dyDescent="0.4">
      <c r="A5">
        <v>2020</v>
      </c>
      <c r="B5" s="4">
        <v>5328</v>
      </c>
      <c r="C5" s="1">
        <f>B5/Fecundidad!B30*10000</f>
        <v>2.7381617416928807</v>
      </c>
      <c r="D5" s="4">
        <v>4216</v>
      </c>
      <c r="E5" s="4">
        <v>4216</v>
      </c>
      <c r="F5" s="4">
        <v>4216</v>
      </c>
      <c r="G5" s="4">
        <f t="shared" si="0"/>
        <v>1112</v>
      </c>
      <c r="H5" s="4">
        <v>529</v>
      </c>
      <c r="I5" s="4">
        <v>583</v>
      </c>
    </row>
    <row r="6" spans="1:18" x14ac:dyDescent="0.4">
      <c r="A6">
        <v>2021</v>
      </c>
      <c r="B6" s="4">
        <v>8661</v>
      </c>
      <c r="C6" s="1">
        <f>B6/Fecundidad!B31*10000</f>
        <v>4.401280736614118</v>
      </c>
      <c r="D6" s="4">
        <v>6858</v>
      </c>
      <c r="E6" s="4">
        <v>6858</v>
      </c>
      <c r="F6" s="4">
        <v>6858</v>
      </c>
      <c r="G6" s="4">
        <f t="shared" si="0"/>
        <v>1803</v>
      </c>
      <c r="H6" s="4">
        <v>814</v>
      </c>
      <c r="I6" s="4">
        <v>989</v>
      </c>
    </row>
    <row r="7" spans="1:18" ht="14.65" x14ac:dyDescent="0.4">
      <c r="A7" s="9" t="s">
        <v>140</v>
      </c>
      <c r="B7" s="4">
        <v>8917</v>
      </c>
      <c r="C7" s="1">
        <f>B7/Fecundidad!B32*10000</f>
        <v>4.4970480210794896</v>
      </c>
      <c r="D7" s="4">
        <v>7908</v>
      </c>
      <c r="E7" s="4">
        <v>7908</v>
      </c>
      <c r="F7" s="4">
        <v>7908</v>
      </c>
      <c r="G7" s="4">
        <v>1009</v>
      </c>
      <c r="H7">
        <v>464</v>
      </c>
      <c r="I7">
        <v>545</v>
      </c>
    </row>
    <row r="8" spans="1:18" ht="14.65" x14ac:dyDescent="0.4">
      <c r="A8" s="9" t="s">
        <v>45</v>
      </c>
      <c r="B8" s="4">
        <v>11745</v>
      </c>
      <c r="C8" s="1">
        <f>B8/Fecundidad!B33*10000</f>
        <v>5.8840064688501599</v>
      </c>
      <c r="D8" s="4">
        <v>10714</v>
      </c>
      <c r="E8" s="4">
        <v>10714</v>
      </c>
      <c r="F8" s="4">
        <v>10714</v>
      </c>
      <c r="G8" s="4">
        <v>1031</v>
      </c>
      <c r="H8">
        <v>493</v>
      </c>
      <c r="I8">
        <v>538</v>
      </c>
    </row>
    <row r="9" spans="1:18" ht="14.65" x14ac:dyDescent="0.4">
      <c r="A9" s="39" t="s">
        <v>46</v>
      </c>
      <c r="B9" s="4">
        <v>16266</v>
      </c>
      <c r="C9" s="1">
        <v>8.1</v>
      </c>
      <c r="D9" s="4">
        <v>14688</v>
      </c>
      <c r="E9" s="4">
        <v>14688</v>
      </c>
      <c r="F9" s="4">
        <v>14688</v>
      </c>
      <c r="G9" s="4">
        <v>1578</v>
      </c>
      <c r="H9">
        <v>749</v>
      </c>
      <c r="I9">
        <v>829</v>
      </c>
    </row>
    <row r="10" spans="1:18" x14ac:dyDescent="0.4">
      <c r="A10" s="9"/>
      <c r="B10" s="4"/>
      <c r="C10" s="1"/>
      <c r="D10" s="4"/>
      <c r="E10" s="4"/>
      <c r="F10" s="4"/>
      <c r="G10" s="4"/>
    </row>
    <row r="11" spans="1:18" x14ac:dyDescent="0.4">
      <c r="A11" s="25" t="s">
        <v>80</v>
      </c>
      <c r="B11" s="4"/>
      <c r="C11" s="4"/>
      <c r="D11" s="4"/>
      <c r="E11" s="4"/>
      <c r="F11" s="4"/>
      <c r="G11" s="1"/>
      <c r="H11" s="9"/>
      <c r="I11" s="9"/>
      <c r="J11" s="9"/>
      <c r="K11" s="9"/>
      <c r="L11" s="9"/>
      <c r="M11" s="9"/>
      <c r="N11" s="9"/>
      <c r="O11" s="9"/>
      <c r="P11" s="9"/>
      <c r="Q11" s="9"/>
      <c r="R11" s="4"/>
    </row>
    <row r="12" spans="1:18" x14ac:dyDescent="0.4">
      <c r="A12" t="s">
        <v>81</v>
      </c>
    </row>
    <row r="13" spans="1:18" x14ac:dyDescent="0.4">
      <c r="A13" s="7" t="s">
        <v>141</v>
      </c>
    </row>
    <row r="14" spans="1:18" x14ac:dyDescent="0.4">
      <c r="A14"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4ebb80a-8fb9-4c95-96df-a4943c088d41">
      <Terms xmlns="http://schemas.microsoft.com/office/infopath/2007/PartnerControls"/>
    </lcf76f155ced4ddcb4097134ff3c332f>
    <TaxCatchAll xmlns="7b080d0a-826f-44db-9301-35b99b02564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DFE437F77C0740468ADA001EAD7623F7" ma:contentTypeVersion="13" ma:contentTypeDescription="Crear nuevo documento." ma:contentTypeScope="" ma:versionID="35834ca3145af75bbeb0293020c990a4">
  <xsd:schema xmlns:xsd="http://www.w3.org/2001/XMLSchema" xmlns:xs="http://www.w3.org/2001/XMLSchema" xmlns:p="http://schemas.microsoft.com/office/2006/metadata/properties" xmlns:ns2="e4ebb80a-8fb9-4c95-96df-a4943c088d41" xmlns:ns3="7b080d0a-826f-44db-9301-35b99b02564a" targetNamespace="http://schemas.microsoft.com/office/2006/metadata/properties" ma:root="true" ma:fieldsID="96694e1de4fa18ca8f9f4447aff00112" ns2:_="" ns3:_="">
    <xsd:import namespace="e4ebb80a-8fb9-4c95-96df-a4943c088d41"/>
    <xsd:import namespace="7b080d0a-826f-44db-9301-35b99b02564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bb80a-8fb9-4c95-96df-a4943c088d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c6d0a366-f013-4afb-8079-7418cfb1d11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080d0a-826f-44db-9301-35b99b02564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652dc69d-d29d-4571-b79a-94c747f42cd7}" ma:internalName="TaxCatchAll" ma:showField="CatchAllData" ma:web="7b080d0a-826f-44db-9301-35b99b0256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91F6E8-3A74-40F0-BC29-529DAD192D4F}">
  <ds:schemaRefs>
    <ds:schemaRef ds:uri="http://schemas.microsoft.com/office/2006/metadata/properties"/>
    <ds:schemaRef ds:uri="http://schemas.microsoft.com/office/infopath/2007/PartnerControls"/>
    <ds:schemaRef ds:uri="e4ebb80a-8fb9-4c95-96df-a4943c088d41"/>
    <ds:schemaRef ds:uri="7b080d0a-826f-44db-9301-35b99b02564a"/>
  </ds:schemaRefs>
</ds:datastoreItem>
</file>

<file path=customXml/itemProps2.xml><?xml version="1.0" encoding="utf-8"?>
<ds:datastoreItem xmlns:ds="http://schemas.openxmlformats.org/officeDocument/2006/customXml" ds:itemID="{34F85BB8-D068-4D95-A859-E4DCD47B14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ebb80a-8fb9-4c95-96df-a4943c088d41"/>
    <ds:schemaRef ds:uri="7b080d0a-826f-44db-9301-35b99b0256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0E1EB45-E334-475C-8395-5D85CE30FD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Portada</vt:lpstr>
      <vt:lpstr>Nacimientos</vt:lpstr>
      <vt:lpstr>Fecundidad</vt:lpstr>
      <vt:lpstr>Defunciones</vt:lpstr>
      <vt:lpstr>Mortalidad</vt:lpstr>
      <vt:lpstr>Matrimonios</vt:lpstr>
      <vt:lpstr>AUC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Diego Andrés Barrientos Espinosa</dc:creator>
  <cp:keywords/>
  <dc:description/>
  <cp:lastModifiedBy>carolina molinare</cp:lastModifiedBy>
  <cp:revision/>
  <dcterms:created xsi:type="dcterms:W3CDTF">2025-02-26T19:03:01Z</dcterms:created>
  <dcterms:modified xsi:type="dcterms:W3CDTF">2026-01-06T23:06:27Z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0x010100DFE437F77C0740468ADA001EAD7623F7</vt:lpwstr>
  </property>
  <property fmtid="{D5CDD505-2E9C-101B-9397-08002B2CF9AE}" pid="3" name="MediaServiceImageTags">
    <vt:lpwstr/>
  </property>
</Properties>
</file>