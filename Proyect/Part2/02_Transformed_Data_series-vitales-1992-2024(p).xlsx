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964992dce6c32205/Documents/MPP LSE/PP434 - Data Visualisation/Code examples/Proyect/Part2/"/>
    </mc:Choice>
  </mc:AlternateContent>
  <xr:revisionPtr revIDLastSave="54" documentId="13_ncr:1_{6FBB6FFD-D295-4DCA-BA54-39E26C731795}" xr6:coauthVersionLast="47" xr6:coauthVersionMax="47" xr10:uidLastSave="{0E21E8B3-3EF5-4214-A9B2-FD7B59D370CE}"/>
  <bookViews>
    <workbookView xWindow="-98" yWindow="-98" windowWidth="21795" windowHeight="12975" xr2:uid="{00000000-000D-0000-FFFF-FFFF00000000}"/>
  </bookViews>
  <sheets>
    <sheet name="Fecundidad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L3" i="2"/>
  <c r="M3" i="2"/>
  <c r="N3" i="2"/>
  <c r="O3" i="2"/>
  <c r="P3" i="2"/>
  <c r="K4" i="2"/>
  <c r="L4" i="2"/>
  <c r="M4" i="2"/>
  <c r="N4" i="2"/>
  <c r="O4" i="2"/>
  <c r="P4" i="2"/>
  <c r="K5" i="2"/>
  <c r="L5" i="2"/>
  <c r="M5" i="2"/>
  <c r="N5" i="2"/>
  <c r="O5" i="2"/>
  <c r="P5" i="2"/>
  <c r="K6" i="2"/>
  <c r="L6" i="2"/>
  <c r="M6" i="2"/>
  <c r="N6" i="2"/>
  <c r="O6" i="2"/>
  <c r="P6" i="2"/>
  <c r="K7" i="2"/>
  <c r="L7" i="2"/>
  <c r="M7" i="2"/>
  <c r="N7" i="2"/>
  <c r="O7" i="2"/>
  <c r="P7" i="2"/>
  <c r="K8" i="2"/>
  <c r="L8" i="2"/>
  <c r="M8" i="2"/>
  <c r="N8" i="2"/>
  <c r="O8" i="2"/>
  <c r="P8" i="2"/>
  <c r="K9" i="2"/>
  <c r="L9" i="2"/>
  <c r="M9" i="2"/>
  <c r="N9" i="2"/>
  <c r="O9" i="2"/>
  <c r="P9" i="2"/>
  <c r="K10" i="2"/>
  <c r="L10" i="2"/>
  <c r="M10" i="2"/>
  <c r="N10" i="2"/>
  <c r="O10" i="2"/>
  <c r="P10" i="2"/>
  <c r="K11" i="2"/>
  <c r="L11" i="2"/>
  <c r="M11" i="2"/>
  <c r="N11" i="2"/>
  <c r="O11" i="2"/>
  <c r="P11" i="2"/>
  <c r="K12" i="2"/>
  <c r="L12" i="2"/>
  <c r="M12" i="2"/>
  <c r="N12" i="2"/>
  <c r="O12" i="2"/>
  <c r="P12" i="2"/>
  <c r="K13" i="2"/>
  <c r="L13" i="2"/>
  <c r="M13" i="2"/>
  <c r="N13" i="2"/>
  <c r="O13" i="2"/>
  <c r="P13" i="2"/>
  <c r="K14" i="2"/>
  <c r="L14" i="2"/>
  <c r="M14" i="2"/>
  <c r="N14" i="2"/>
  <c r="O14" i="2"/>
  <c r="P14" i="2"/>
  <c r="K15" i="2"/>
  <c r="L15" i="2"/>
  <c r="M15" i="2"/>
  <c r="N15" i="2"/>
  <c r="O15" i="2"/>
  <c r="P15" i="2"/>
  <c r="K16" i="2"/>
  <c r="L16" i="2"/>
  <c r="M16" i="2"/>
  <c r="N16" i="2"/>
  <c r="O16" i="2"/>
  <c r="P16" i="2"/>
  <c r="K17" i="2"/>
  <c r="L17" i="2"/>
  <c r="M17" i="2"/>
  <c r="N17" i="2"/>
  <c r="O17" i="2"/>
  <c r="P17" i="2"/>
  <c r="K18" i="2"/>
  <c r="L18" i="2"/>
  <c r="M18" i="2"/>
  <c r="N18" i="2"/>
  <c r="O18" i="2"/>
  <c r="P18" i="2"/>
  <c r="K19" i="2"/>
  <c r="L19" i="2"/>
  <c r="M19" i="2"/>
  <c r="N19" i="2"/>
  <c r="O19" i="2"/>
  <c r="P19" i="2"/>
  <c r="K20" i="2"/>
  <c r="L20" i="2"/>
  <c r="M20" i="2"/>
  <c r="N20" i="2"/>
  <c r="O20" i="2"/>
  <c r="P20" i="2"/>
  <c r="K21" i="2"/>
  <c r="L21" i="2"/>
  <c r="M21" i="2"/>
  <c r="N21" i="2"/>
  <c r="O21" i="2"/>
  <c r="P21" i="2"/>
  <c r="K22" i="2"/>
  <c r="L22" i="2"/>
  <c r="M22" i="2"/>
  <c r="N22" i="2"/>
  <c r="O22" i="2"/>
  <c r="P22" i="2"/>
  <c r="K23" i="2"/>
  <c r="L23" i="2"/>
  <c r="M23" i="2"/>
  <c r="N23" i="2"/>
  <c r="O23" i="2"/>
  <c r="P23" i="2"/>
  <c r="K24" i="2"/>
  <c r="L24" i="2"/>
  <c r="M24" i="2"/>
  <c r="N24" i="2"/>
  <c r="O24" i="2"/>
  <c r="P24" i="2"/>
  <c r="K25" i="2"/>
  <c r="L25" i="2"/>
  <c r="M25" i="2"/>
  <c r="N25" i="2"/>
  <c r="O25" i="2"/>
  <c r="P25" i="2"/>
  <c r="K26" i="2"/>
  <c r="L26" i="2"/>
  <c r="M26" i="2"/>
  <c r="N26" i="2"/>
  <c r="O26" i="2"/>
  <c r="P26" i="2"/>
  <c r="K27" i="2"/>
  <c r="L27" i="2"/>
  <c r="M27" i="2"/>
  <c r="N27" i="2"/>
  <c r="O27" i="2"/>
  <c r="P27" i="2"/>
  <c r="K28" i="2"/>
  <c r="L28" i="2"/>
  <c r="M28" i="2"/>
  <c r="N28" i="2"/>
  <c r="O28" i="2"/>
  <c r="P28" i="2"/>
  <c r="K29" i="2"/>
  <c r="L29" i="2"/>
  <c r="M29" i="2"/>
  <c r="N29" i="2"/>
  <c r="O29" i="2"/>
  <c r="P29" i="2"/>
  <c r="K30" i="2"/>
  <c r="L30" i="2"/>
  <c r="M30" i="2"/>
  <c r="N30" i="2"/>
  <c r="O30" i="2"/>
  <c r="P30" i="2"/>
  <c r="K31" i="2"/>
  <c r="L31" i="2"/>
  <c r="M31" i="2"/>
  <c r="N31" i="2"/>
  <c r="O31" i="2"/>
  <c r="P31" i="2"/>
  <c r="K32" i="2"/>
  <c r="L32" i="2"/>
  <c r="M32" i="2"/>
  <c r="N32" i="2"/>
  <c r="O32" i="2"/>
  <c r="P32" i="2"/>
  <c r="K33" i="2"/>
  <c r="L33" i="2"/>
  <c r="M33" i="2"/>
  <c r="N33" i="2"/>
  <c r="O33" i="2"/>
  <c r="P33" i="2"/>
  <c r="K34" i="2"/>
  <c r="L34" i="2"/>
  <c r="M34" i="2"/>
  <c r="N34" i="2"/>
  <c r="O34" i="2"/>
  <c r="P34" i="2"/>
  <c r="K35" i="2"/>
  <c r="L35" i="2"/>
  <c r="M35" i="2"/>
  <c r="N35" i="2"/>
  <c r="O35" i="2"/>
  <c r="P35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" i="2"/>
</calcChain>
</file>

<file path=xl/sharedStrings.xml><?xml version="1.0" encoding="utf-8"?>
<sst xmlns="http://schemas.openxmlformats.org/spreadsheetml/2006/main" count="30" uniqueCount="23">
  <si>
    <t>Los valores de los años 2023 y 2024 corresponden a cifras provisionales.</t>
  </si>
  <si>
    <t>Fuente: INE, Estadísticas Vitales y Estimaciones y Proyecciones de Población base Censo 2017.</t>
  </si>
  <si>
    <t xml:space="preserve">Notas: </t>
  </si>
  <si>
    <t>Las cifras de población al 30 de junio de cada año corresponden a las estimaciones y proyecciones de población base censo 2017.</t>
  </si>
  <si>
    <t>La tasa bruta de natalidad corresponde al número de nacidos vivos por cada 1.000 personas.</t>
  </si>
  <si>
    <t>La tasa de fecundidad general corresponde al número de nacidos vivos por cada 1.000 mujeres en edad fértil (15-49 años).</t>
  </si>
  <si>
    <t>Los nacidos vivos por grupo de edad de la madre están  ajustados a los nacimientos corregidos  mediante prorrateo, incluyendo casos de edad ignorada, el grupo 15 a 19 años incluye nacimientos de menores de 15 años, el grupo 45 a 49 años incluye nacimientos de mujeres de 50 años y más.</t>
  </si>
  <si>
    <t>Las tasas específicas de fecundidad por grupo de edad de la madre corresponden al  número de nacidos vivos por cada 1.000 mujeres de dicho grupo de edad.</t>
  </si>
  <si>
    <t xml:space="preserve">La tasa global de fecundidad corresponden al número de hijos/as que tendría una mujer al finalizar su edad fértil (15 a 49 años) si está afecta a la fecundidad actual y no estuviera expuesta al riesgo de la mortalidad antes del término del período fértil. </t>
  </si>
  <si>
    <t>La edad media de la fecundidad se refiere a la edad teórica a la que en promedio, se situarían todos los nacimientos de cada mujer. Se obtiene multiplicando las tasas específicas de fecundidad por edad por el punto medio del intervalo de edad y dividiendo la suma de estos valores por la sumatoria de las tasas de fecundidad.</t>
  </si>
  <si>
    <t>La edad media de las madres, corresponde a la edad promedio de todas las madres que tuvieron hijos vivos en un periodo determinado.</t>
  </si>
  <si>
    <t>La edad mediana de las madres es el valor que representa la edad en que se puede dividir exactamente a la mitad a las madres que tuvieron nacidos vivos en un periodo dado. De otra forma, se puede decir que el 50% de las madres se encuentra por debajo de la edad mediana y el otro 50% por sobre ésta.</t>
  </si>
  <si>
    <t>Year</t>
  </si>
  <si>
    <t>15-19</t>
  </si>
  <si>
    <t>20-24</t>
  </si>
  <si>
    <t>25-29</t>
  </si>
  <si>
    <t>30-34</t>
  </si>
  <si>
    <t>35-39</t>
  </si>
  <si>
    <t>40-44</t>
  </si>
  <si>
    <t>45-49</t>
  </si>
  <si>
    <t>Number of Births</t>
  </si>
  <si>
    <t>Percentage of Births</t>
  </si>
  <si>
    <t>Total Births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</si>
</sst>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1" formatCode="_ * #,##0_ ;_ * \-#,##0_ ;_ * &quot;-&quot;_ ;_ @_ "/>
    <numFmt numFmtId="164" formatCode="0.0"/>
  </numFmts>
  <fonts count="5" x14ac:knownFonts="1">
    <font>
      <sz val="10"/>
      <color theme="1"/>
      <name val="Aptos Narrow"/>
      <family val="2"/>
    </font>
    <font>
      <b/>
      <sz val="10"/>
      <color theme="1"/>
      <name val="Aptos Narrow"/>
      <family val="2"/>
    </font>
    <font>
      <sz val="10"/>
      <color rgb="FFFF0000"/>
      <name val="Aptos Narrow"/>
      <family val="2"/>
    </font>
    <font>
      <sz val="11"/>
      <color rgb="FF000000"/>
      <name val="Calibri"/>
      <family val="2"/>
      <scheme val="minor"/>
    </font>
    <font>
      <sz val="10"/>
      <color rgb="FF000000"/>
      <name val="Aptos Narrow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41" fontId="3" fillId="0" borderId="0" applyFont="0" applyFill="0" applyBorder="0" applyAlignment="0" applyProtection="0"/>
  </cellStyleXfs>
  <cellXfs count="39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 vertical="center" wrapText="1"/>
    </xf>
    <xf numFmtId="3" fontId="0" fillId="0" borderId="0" xfId="0" applyNumberFormat="1"/>
    <xf numFmtId="2" fontId="0" fillId="0" borderId="0" xfId="0" applyNumberFormat="1"/>
    <xf numFmtId="0" fontId="2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3" fontId="0" fillId="0" borderId="8" xfId="0" applyNumberFormat="1" applyBorder="1"/>
    <xf numFmtId="3" fontId="0" fillId="0" borderId="0" xfId="0" applyNumberFormat="1" applyBorder="1"/>
    <xf numFmtId="0" fontId="0" fillId="0" borderId="9" xfId="0" applyBorder="1"/>
    <xf numFmtId="3" fontId="0" fillId="0" borderId="9" xfId="0" applyNumberFormat="1" applyBorder="1"/>
    <xf numFmtId="3" fontId="0" fillId="0" borderId="10" xfId="0" applyNumberFormat="1" applyBorder="1"/>
    <xf numFmtId="3" fontId="0" fillId="0" borderId="1" xfId="0" applyNumberFormat="1" applyBorder="1"/>
    <xf numFmtId="0" fontId="0" fillId="0" borderId="11" xfId="0" applyBorder="1"/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4" fontId="0" fillId="0" borderId="5" xfId="0" applyNumberFormat="1" applyBorder="1"/>
    <xf numFmtId="164" fontId="0" fillId="0" borderId="6" xfId="0" applyNumberFormat="1" applyBorder="1"/>
    <xf numFmtId="164" fontId="0" fillId="0" borderId="7" xfId="0" applyNumberFormat="1" applyBorder="1"/>
    <xf numFmtId="164" fontId="0" fillId="0" borderId="8" xfId="0" applyNumberFormat="1" applyBorder="1"/>
    <xf numFmtId="164" fontId="0" fillId="0" borderId="0" xfId="0" applyNumberFormat="1" applyBorder="1"/>
    <xf numFmtId="164" fontId="0" fillId="0" borderId="9" xfId="0" applyNumberFormat="1" applyBorder="1"/>
    <xf numFmtId="164" fontId="0" fillId="0" borderId="10" xfId="0" applyNumberFormat="1" applyBorder="1"/>
    <xf numFmtId="164" fontId="0" fillId="0" borderId="1" xfId="0" applyNumberFormat="1" applyBorder="1"/>
    <xf numFmtId="164" fontId="0" fillId="0" borderId="11" xfId="0" applyNumberFormat="1" applyBorder="1"/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5" xfId="0" applyBorder="1"/>
    <xf numFmtId="3" fontId="0" fillId="0" borderId="7" xfId="0" applyNumberFormat="1" applyBorder="1"/>
    <xf numFmtId="0" fontId="0" fillId="0" borderId="8" xfId="0" applyBorder="1"/>
    <xf numFmtId="0" fontId="0" fillId="0" borderId="8" xfId="0" applyBorder="1" applyAlignment="1">
      <alignment horizontal="right"/>
    </xf>
    <xf numFmtId="0" fontId="4" fillId="0" borderId="10" xfId="0" applyFont="1" applyBorder="1" applyAlignment="1">
      <alignment horizontal="right"/>
    </xf>
    <xf numFmtId="3" fontId="0" fillId="0" borderId="11" xfId="0" applyNumberFormat="1" applyBorder="1"/>
  </cellXfs>
  <cellStyles count="3">
    <cellStyle name="Millares [0] 2" xfId="2" xr:uid="{00000000-0005-0000-0000-000000000000}"/>
    <cellStyle name="Normal" xfId="0" builtinId="0"/>
    <cellStyle name="Normal 2" xfId="1" xr:uid="{00000000-0005-0000-0000-000002000000}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57"/>
  <sheetViews>
    <sheetView tabSelected="1" workbookViewId="0">
      <selection activeCell="F40" sqref="F40"/>
    </sheetView>
  </sheetViews>
  <sheetFormatPr defaultColWidth="11.42578125" defaultRowHeight="13.15" x14ac:dyDescent="0.4"/>
  <cols>
    <col min="1" max="1" width="6.5703125" customWidth="1"/>
  </cols>
  <sheetData>
    <row r="1" spans="1:21" x14ac:dyDescent="0.4">
      <c r="A1" s="31"/>
      <c r="B1" s="32"/>
      <c r="C1" s="8" t="s">
        <v>20</v>
      </c>
      <c r="D1" s="9"/>
      <c r="E1" s="9"/>
      <c r="F1" s="9"/>
      <c r="G1" s="9"/>
      <c r="H1" s="9"/>
      <c r="I1" s="10"/>
      <c r="J1" s="8" t="s">
        <v>21</v>
      </c>
      <c r="K1" s="9"/>
      <c r="L1" s="9"/>
      <c r="M1" s="9"/>
      <c r="N1" s="9"/>
      <c r="O1" s="9"/>
      <c r="P1" s="10"/>
    </row>
    <row r="2" spans="1:21" ht="54.75" customHeight="1" x14ac:dyDescent="0.4">
      <c r="A2" s="18" t="s">
        <v>12</v>
      </c>
      <c r="B2" s="19" t="s">
        <v>22</v>
      </c>
      <c r="C2" s="20" t="s">
        <v>13</v>
      </c>
      <c r="D2" s="19" t="s">
        <v>14</v>
      </c>
      <c r="E2" s="19" t="s">
        <v>15</v>
      </c>
      <c r="F2" s="19" t="s">
        <v>16</v>
      </c>
      <c r="G2" s="19" t="s">
        <v>17</v>
      </c>
      <c r="H2" s="19" t="s">
        <v>18</v>
      </c>
      <c r="I2" s="21" t="s">
        <v>19</v>
      </c>
      <c r="J2" s="19" t="s">
        <v>13</v>
      </c>
      <c r="K2" s="19" t="s">
        <v>14</v>
      </c>
      <c r="L2" s="19" t="s">
        <v>15</v>
      </c>
      <c r="M2" s="19" t="s">
        <v>16</v>
      </c>
      <c r="N2" s="19" t="s">
        <v>17</v>
      </c>
      <c r="O2" s="19" t="s">
        <v>18</v>
      </c>
      <c r="P2" s="21" t="s">
        <v>19</v>
      </c>
      <c r="Q2" s="2"/>
      <c r="R2" s="2"/>
      <c r="S2" s="2"/>
      <c r="T2" s="2"/>
      <c r="U2" s="2"/>
    </row>
    <row r="3" spans="1:21" x14ac:dyDescent="0.4">
      <c r="A3" s="33">
        <v>1992</v>
      </c>
      <c r="B3" s="34">
        <v>294218</v>
      </c>
      <c r="C3" s="11">
        <v>40568</v>
      </c>
      <c r="D3" s="12">
        <v>80532</v>
      </c>
      <c r="E3" s="12">
        <v>83130</v>
      </c>
      <c r="F3" s="12">
        <v>57046</v>
      </c>
      <c r="G3" s="12">
        <v>26535</v>
      </c>
      <c r="H3" s="12">
        <v>5994</v>
      </c>
      <c r="I3" s="13">
        <v>413</v>
      </c>
      <c r="J3" s="22">
        <f>(C3/$B3)*100</f>
        <v>13.788415392668021</v>
      </c>
      <c r="K3" s="23">
        <f t="shared" ref="K3:P18" si="0">(D3/$B3)*100</f>
        <v>27.371540830268714</v>
      </c>
      <c r="L3" s="23">
        <f t="shared" si="0"/>
        <v>28.254559544283492</v>
      </c>
      <c r="M3" s="23">
        <f t="shared" si="0"/>
        <v>19.389024464852593</v>
      </c>
      <c r="N3" s="23">
        <f t="shared" si="0"/>
        <v>9.0188227776682588</v>
      </c>
      <c r="O3" s="23">
        <f t="shared" si="0"/>
        <v>2.0372648852211626</v>
      </c>
      <c r="P3" s="24">
        <f t="shared" si="0"/>
        <v>0.1403721050377611</v>
      </c>
      <c r="Q3" s="4"/>
      <c r="R3" s="4"/>
      <c r="S3" s="1"/>
      <c r="T3" s="1"/>
      <c r="U3" s="1"/>
    </row>
    <row r="4" spans="1:21" x14ac:dyDescent="0.4">
      <c r="A4" s="35">
        <v>1993</v>
      </c>
      <c r="B4" s="14">
        <v>289419</v>
      </c>
      <c r="C4" s="11">
        <v>40307</v>
      </c>
      <c r="D4" s="12">
        <v>78434</v>
      </c>
      <c r="E4" s="12">
        <v>79828</v>
      </c>
      <c r="F4" s="12">
        <v>57376</v>
      </c>
      <c r="G4" s="12">
        <v>26738</v>
      </c>
      <c r="H4" s="12">
        <v>6314</v>
      </c>
      <c r="I4" s="13">
        <v>422</v>
      </c>
      <c r="J4" s="25">
        <f t="shared" ref="J4:J35" si="1">(C4/$B4)*100</f>
        <v>13.926867275472585</v>
      </c>
      <c r="K4" s="26">
        <f t="shared" si="0"/>
        <v>27.100501349254884</v>
      </c>
      <c r="L4" s="26">
        <f t="shared" si="0"/>
        <v>27.582155974555921</v>
      </c>
      <c r="M4" s="26">
        <f t="shared" si="0"/>
        <v>19.824545036780584</v>
      </c>
      <c r="N4" s="26">
        <f t="shared" si="0"/>
        <v>9.2385088746765067</v>
      </c>
      <c r="O4" s="26">
        <f t="shared" si="0"/>
        <v>2.1816121263635075</v>
      </c>
      <c r="P4" s="27">
        <f t="shared" si="0"/>
        <v>0.1458093628960089</v>
      </c>
      <c r="Q4" s="4"/>
      <c r="R4" s="4"/>
      <c r="S4" s="1"/>
      <c r="T4" s="1"/>
      <c r="U4" s="1"/>
    </row>
    <row r="5" spans="1:21" x14ac:dyDescent="0.4">
      <c r="A5" s="35">
        <v>1994</v>
      </c>
      <c r="B5" s="14">
        <v>285228</v>
      </c>
      <c r="C5" s="11">
        <v>40474</v>
      </c>
      <c r="D5" s="12">
        <v>77568</v>
      </c>
      <c r="E5" s="12">
        <v>76609</v>
      </c>
      <c r="F5" s="12">
        <v>57052</v>
      </c>
      <c r="G5" s="12">
        <v>26964</v>
      </c>
      <c r="H5" s="12">
        <v>6227</v>
      </c>
      <c r="I5" s="13">
        <v>334</v>
      </c>
      <c r="J5" s="25">
        <f t="shared" si="1"/>
        <v>14.190051467597852</v>
      </c>
      <c r="K5" s="26">
        <f t="shared" si="0"/>
        <v>27.195086036434013</v>
      </c>
      <c r="L5" s="26">
        <f t="shared" si="0"/>
        <v>26.858863786164051</v>
      </c>
      <c r="M5" s="26">
        <f t="shared" si="0"/>
        <v>20.002243818979903</v>
      </c>
      <c r="N5" s="26">
        <f t="shared" si="0"/>
        <v>9.4534898397071814</v>
      </c>
      <c r="O5" s="26">
        <f t="shared" si="0"/>
        <v>2.1831657481032716</v>
      </c>
      <c r="P5" s="27">
        <f t="shared" si="0"/>
        <v>0.11709930301372937</v>
      </c>
      <c r="Q5" s="4"/>
      <c r="R5" s="4"/>
      <c r="S5" s="1"/>
      <c r="T5" s="1"/>
      <c r="U5" s="1"/>
    </row>
    <row r="6" spans="1:21" x14ac:dyDescent="0.4">
      <c r="A6" s="35">
        <v>1995</v>
      </c>
      <c r="B6" s="14">
        <v>275756</v>
      </c>
      <c r="C6" s="11">
        <v>40321</v>
      </c>
      <c r="D6" s="12">
        <v>74298</v>
      </c>
      <c r="E6" s="12">
        <v>71625</v>
      </c>
      <c r="F6" s="12">
        <v>55588</v>
      </c>
      <c r="G6" s="12">
        <v>27190</v>
      </c>
      <c r="H6" s="12">
        <v>6416</v>
      </c>
      <c r="I6" s="13">
        <v>318</v>
      </c>
      <c r="J6" s="25">
        <f t="shared" si="1"/>
        <v>14.621984653099116</v>
      </c>
      <c r="K6" s="26">
        <f t="shared" si="0"/>
        <v>26.943384731429234</v>
      </c>
      <c r="L6" s="26">
        <f t="shared" si="0"/>
        <v>25.974049522041227</v>
      </c>
      <c r="M6" s="26">
        <f t="shared" si="0"/>
        <v>20.158400905148032</v>
      </c>
      <c r="N6" s="26">
        <f t="shared" si="0"/>
        <v>9.8601662339169405</v>
      </c>
      <c r="O6" s="26">
        <f t="shared" si="0"/>
        <v>2.3266946140791136</v>
      </c>
      <c r="P6" s="27">
        <f t="shared" si="0"/>
        <v>0.11531934028634008</v>
      </c>
      <c r="Q6" s="4"/>
      <c r="R6" s="4"/>
      <c r="S6" s="1"/>
      <c r="T6" s="1"/>
      <c r="U6" s="1"/>
    </row>
    <row r="7" spans="1:21" x14ac:dyDescent="0.4">
      <c r="A7" s="35">
        <v>1996</v>
      </c>
      <c r="B7" s="14">
        <v>272161</v>
      </c>
      <c r="C7" s="11">
        <v>40806</v>
      </c>
      <c r="D7" s="12">
        <v>71887</v>
      </c>
      <c r="E7" s="12">
        <v>69463</v>
      </c>
      <c r="F7" s="12">
        <v>55227</v>
      </c>
      <c r="G7" s="12">
        <v>28005</v>
      </c>
      <c r="H7" s="12">
        <v>6465</v>
      </c>
      <c r="I7" s="13">
        <v>308</v>
      </c>
      <c r="J7" s="25">
        <f t="shared" si="1"/>
        <v>14.9933311532512</v>
      </c>
      <c r="K7" s="26">
        <f t="shared" si="0"/>
        <v>26.413409709693898</v>
      </c>
      <c r="L7" s="26">
        <f t="shared" si="0"/>
        <v>25.522760424895559</v>
      </c>
      <c r="M7" s="26">
        <f t="shared" si="0"/>
        <v>20.292033024570017</v>
      </c>
      <c r="N7" s="26">
        <f t="shared" si="0"/>
        <v>10.289865190089689</v>
      </c>
      <c r="O7" s="26">
        <f t="shared" si="0"/>
        <v>2.3754321890351666</v>
      </c>
      <c r="P7" s="27">
        <f t="shared" si="0"/>
        <v>0.11316830846447506</v>
      </c>
      <c r="Q7" s="4"/>
      <c r="R7" s="4"/>
      <c r="S7" s="1"/>
      <c r="T7" s="1"/>
      <c r="U7" s="1"/>
    </row>
    <row r="8" spans="1:21" x14ac:dyDescent="0.4">
      <c r="A8" s="35">
        <v>1997</v>
      </c>
      <c r="B8" s="14">
        <v>265493</v>
      </c>
      <c r="C8" s="11">
        <v>41601</v>
      </c>
      <c r="D8" s="12">
        <v>67739</v>
      </c>
      <c r="E8" s="12">
        <v>67307</v>
      </c>
      <c r="F8" s="12">
        <v>53602</v>
      </c>
      <c r="G8" s="12">
        <v>28364</v>
      </c>
      <c r="H8" s="12">
        <v>6547</v>
      </c>
      <c r="I8" s="13">
        <v>333</v>
      </c>
      <c r="J8" s="25">
        <f t="shared" si="1"/>
        <v>15.669339681272199</v>
      </c>
      <c r="K8" s="26">
        <f t="shared" si="0"/>
        <v>25.514420342532574</v>
      </c>
      <c r="L8" s="26">
        <f t="shared" si="0"/>
        <v>25.351704188057688</v>
      </c>
      <c r="M8" s="26">
        <f t="shared" si="0"/>
        <v>20.18960951889504</v>
      </c>
      <c r="N8" s="26">
        <f t="shared" si="0"/>
        <v>10.683520846124003</v>
      </c>
      <c r="O8" s="26">
        <f t="shared" si="0"/>
        <v>2.465978387377445</v>
      </c>
      <c r="P8" s="27">
        <f t="shared" si="0"/>
        <v>0.12542703574105532</v>
      </c>
      <c r="Q8" s="4"/>
      <c r="R8" s="4"/>
      <c r="S8" s="1"/>
      <c r="T8" s="1"/>
      <c r="U8" s="1"/>
    </row>
    <row r="9" spans="1:21" x14ac:dyDescent="0.4">
      <c r="A9" s="35">
        <v>1998</v>
      </c>
      <c r="B9" s="14">
        <v>261803</v>
      </c>
      <c r="C9" s="11">
        <v>42289</v>
      </c>
      <c r="D9" s="12">
        <v>64390</v>
      </c>
      <c r="E9" s="12">
        <v>66584</v>
      </c>
      <c r="F9" s="12">
        <v>52892</v>
      </c>
      <c r="G9" s="12">
        <v>28645</v>
      </c>
      <c r="H9" s="12">
        <v>6663</v>
      </c>
      <c r="I9" s="13">
        <v>340</v>
      </c>
      <c r="J9" s="25">
        <f t="shared" si="1"/>
        <v>16.152985259909169</v>
      </c>
      <c r="K9" s="26">
        <f t="shared" si="0"/>
        <v>24.594828936261234</v>
      </c>
      <c r="L9" s="26">
        <f t="shared" si="0"/>
        <v>25.432863641745897</v>
      </c>
      <c r="M9" s="26">
        <f t="shared" si="0"/>
        <v>20.202977047627417</v>
      </c>
      <c r="N9" s="26">
        <f t="shared" si="0"/>
        <v>10.941433062264375</v>
      </c>
      <c r="O9" s="26">
        <f t="shared" si="0"/>
        <v>2.5450434105033173</v>
      </c>
      <c r="P9" s="27">
        <f t="shared" si="0"/>
        <v>0.12986864168859791</v>
      </c>
      <c r="Q9" s="4"/>
      <c r="R9" s="4"/>
      <c r="S9" s="1"/>
      <c r="T9" s="1"/>
      <c r="U9" s="1"/>
    </row>
    <row r="10" spans="1:21" x14ac:dyDescent="0.4">
      <c r="A10" s="35">
        <v>1999</v>
      </c>
      <c r="B10" s="14">
        <v>254096</v>
      </c>
      <c r="C10" s="11">
        <v>40991</v>
      </c>
      <c r="D10" s="12">
        <v>60102</v>
      </c>
      <c r="E10" s="12">
        <v>65012</v>
      </c>
      <c r="F10" s="12">
        <v>51783</v>
      </c>
      <c r="G10" s="12">
        <v>29112</v>
      </c>
      <c r="H10" s="12">
        <v>6791</v>
      </c>
      <c r="I10" s="13">
        <v>305</v>
      </c>
      <c r="J10" s="25">
        <f t="shared" si="1"/>
        <v>16.132091807820668</v>
      </c>
      <c r="K10" s="26">
        <f t="shared" si="0"/>
        <v>23.653264907751399</v>
      </c>
      <c r="L10" s="26">
        <f t="shared" si="0"/>
        <v>25.58560544046345</v>
      </c>
      <c r="M10" s="26">
        <f t="shared" si="0"/>
        <v>20.379305459353944</v>
      </c>
      <c r="N10" s="26">
        <f t="shared" si="0"/>
        <v>11.457087085196147</v>
      </c>
      <c r="O10" s="26">
        <f t="shared" si="0"/>
        <v>2.6726119262011205</v>
      </c>
      <c r="P10" s="27">
        <f t="shared" si="0"/>
        <v>0.12003337321327373</v>
      </c>
      <c r="Q10" s="4"/>
      <c r="R10" s="4"/>
      <c r="S10" s="1"/>
      <c r="T10" s="1"/>
      <c r="U10" s="1"/>
    </row>
    <row r="11" spans="1:21" x14ac:dyDescent="0.4">
      <c r="A11" s="35">
        <v>2000</v>
      </c>
      <c r="B11" s="14">
        <v>252155</v>
      </c>
      <c r="C11" s="11">
        <v>40840</v>
      </c>
      <c r="D11" s="12">
        <v>57890</v>
      </c>
      <c r="E11" s="12">
        <v>64649</v>
      </c>
      <c r="F11" s="12">
        <v>51339</v>
      </c>
      <c r="G11" s="12">
        <v>29857</v>
      </c>
      <c r="H11" s="12">
        <v>7212</v>
      </c>
      <c r="I11" s="13">
        <v>368</v>
      </c>
      <c r="J11" s="25">
        <f t="shared" si="1"/>
        <v>16.196387142828815</v>
      </c>
      <c r="K11" s="26">
        <f t="shared" si="0"/>
        <v>22.958101167932423</v>
      </c>
      <c r="L11" s="26">
        <f t="shared" si="0"/>
        <v>25.638595308441236</v>
      </c>
      <c r="M11" s="26">
        <f t="shared" si="0"/>
        <v>20.360095972715193</v>
      </c>
      <c r="N11" s="26">
        <f t="shared" si="0"/>
        <v>11.840732882552398</v>
      </c>
      <c r="O11" s="26">
        <f t="shared" si="0"/>
        <v>2.8601455453986633</v>
      </c>
      <c r="P11" s="27">
        <f t="shared" si="0"/>
        <v>0.14594198013126847</v>
      </c>
      <c r="Q11" s="4"/>
      <c r="R11" s="4"/>
      <c r="S11" s="1"/>
      <c r="T11" s="1"/>
      <c r="U11" s="1"/>
    </row>
    <row r="12" spans="1:21" x14ac:dyDescent="0.4">
      <c r="A12" s="35">
        <v>2001</v>
      </c>
      <c r="B12" s="14">
        <v>248651</v>
      </c>
      <c r="C12" s="11">
        <v>40295</v>
      </c>
      <c r="D12" s="12">
        <v>56468</v>
      </c>
      <c r="E12" s="12">
        <v>62370</v>
      </c>
      <c r="F12" s="12">
        <v>51173</v>
      </c>
      <c r="G12" s="12">
        <v>30457</v>
      </c>
      <c r="H12" s="12">
        <v>7496</v>
      </c>
      <c r="I12" s="13">
        <v>392</v>
      </c>
      <c r="J12" s="25">
        <f t="shared" si="1"/>
        <v>16.205444578948004</v>
      </c>
      <c r="K12" s="26">
        <f t="shared" si="0"/>
        <v>22.709741766572424</v>
      </c>
      <c r="L12" s="26">
        <f t="shared" si="0"/>
        <v>25.083349755279489</v>
      </c>
      <c r="M12" s="26">
        <f t="shared" si="0"/>
        <v>20.580251034582609</v>
      </c>
      <c r="N12" s="26">
        <f t="shared" si="0"/>
        <v>12.248895037623015</v>
      </c>
      <c r="O12" s="26">
        <f t="shared" si="0"/>
        <v>3.0146671439085302</v>
      </c>
      <c r="P12" s="27">
        <f t="shared" si="0"/>
        <v>0.15765068308593169</v>
      </c>
      <c r="Q12" s="4"/>
      <c r="R12" s="4"/>
      <c r="S12" s="1"/>
      <c r="T12" s="1"/>
      <c r="U12" s="1"/>
    </row>
    <row r="13" spans="1:21" x14ac:dyDescent="0.4">
      <c r="A13" s="35">
        <v>2002</v>
      </c>
      <c r="B13" s="14">
        <v>241027</v>
      </c>
      <c r="C13" s="11">
        <v>37940</v>
      </c>
      <c r="D13" s="12">
        <v>55888</v>
      </c>
      <c r="E13" s="12">
        <v>59279</v>
      </c>
      <c r="F13" s="12">
        <v>49999</v>
      </c>
      <c r="G13" s="12">
        <v>29702</v>
      </c>
      <c r="H13" s="12">
        <v>7888</v>
      </c>
      <c r="I13" s="13">
        <v>331</v>
      </c>
      <c r="J13" s="25">
        <f t="shared" si="1"/>
        <v>15.740975077480945</v>
      </c>
      <c r="K13" s="26">
        <f t="shared" si="0"/>
        <v>23.187443730370457</v>
      </c>
      <c r="L13" s="26">
        <f t="shared" si="0"/>
        <v>24.594340053189061</v>
      </c>
      <c r="M13" s="26">
        <f t="shared" si="0"/>
        <v>20.744148995755662</v>
      </c>
      <c r="N13" s="26">
        <f t="shared" si="0"/>
        <v>12.323100731453323</v>
      </c>
      <c r="O13" s="26">
        <f t="shared" si="0"/>
        <v>3.2726623988183898</v>
      </c>
      <c r="P13" s="27">
        <f t="shared" si="0"/>
        <v>0.13732901293216113</v>
      </c>
      <c r="Q13" s="4"/>
      <c r="R13" s="4"/>
      <c r="S13" s="1"/>
      <c r="T13" s="1"/>
      <c r="U13" s="1"/>
    </row>
    <row r="14" spans="1:21" x14ac:dyDescent="0.4">
      <c r="A14" s="35">
        <v>2003</v>
      </c>
      <c r="B14" s="14">
        <v>236223</v>
      </c>
      <c r="C14" s="11">
        <v>35090</v>
      </c>
      <c r="D14" s="12">
        <v>54940</v>
      </c>
      <c r="E14" s="12">
        <v>56860</v>
      </c>
      <c r="F14" s="12">
        <v>50932</v>
      </c>
      <c r="G14" s="12">
        <v>29882</v>
      </c>
      <c r="H14" s="12">
        <v>8147</v>
      </c>
      <c r="I14" s="13">
        <v>372</v>
      </c>
      <c r="J14" s="25">
        <f t="shared" si="1"/>
        <v>14.854607722364038</v>
      </c>
      <c r="K14" s="26">
        <f t="shared" si="0"/>
        <v>23.257684476109439</v>
      </c>
      <c r="L14" s="26">
        <f t="shared" si="0"/>
        <v>24.070475779242496</v>
      </c>
      <c r="M14" s="26">
        <f t="shared" si="0"/>
        <v>21.560982630819183</v>
      </c>
      <c r="N14" s="26">
        <f t="shared" si="0"/>
        <v>12.649911312615622</v>
      </c>
      <c r="O14" s="26">
        <f t="shared" si="0"/>
        <v>3.4488597638671932</v>
      </c>
      <c r="P14" s="27">
        <f t="shared" si="0"/>
        <v>0.15747831498202969</v>
      </c>
      <c r="Q14" s="4"/>
      <c r="R14" s="4"/>
      <c r="S14" s="1"/>
      <c r="T14" s="1"/>
      <c r="U14" s="1"/>
    </row>
    <row r="15" spans="1:21" x14ac:dyDescent="0.4">
      <c r="A15" s="35">
        <v>2004</v>
      </c>
      <c r="B15" s="14">
        <v>232588</v>
      </c>
      <c r="C15" s="11">
        <v>34762</v>
      </c>
      <c r="D15" s="12">
        <v>54056</v>
      </c>
      <c r="E15" s="12">
        <v>54670</v>
      </c>
      <c r="F15" s="12">
        <v>51076</v>
      </c>
      <c r="G15" s="12">
        <v>29396</v>
      </c>
      <c r="H15" s="12">
        <v>8289</v>
      </c>
      <c r="I15" s="13">
        <v>339</v>
      </c>
      <c r="J15" s="25">
        <f t="shared" si="1"/>
        <v>14.945740966859855</v>
      </c>
      <c r="K15" s="26">
        <f t="shared" si="0"/>
        <v>23.241095843293721</v>
      </c>
      <c r="L15" s="26">
        <f t="shared" si="0"/>
        <v>23.505081947477944</v>
      </c>
      <c r="M15" s="26">
        <f t="shared" si="0"/>
        <v>21.959860353930555</v>
      </c>
      <c r="N15" s="26">
        <f t="shared" si="0"/>
        <v>12.638657196415981</v>
      </c>
      <c r="O15" s="26">
        <f t="shared" si="0"/>
        <v>3.5638124064870067</v>
      </c>
      <c r="P15" s="27">
        <f t="shared" si="0"/>
        <v>0.14575128553493732</v>
      </c>
      <c r="Q15" s="4"/>
      <c r="R15" s="4"/>
      <c r="S15" s="1"/>
      <c r="T15" s="1"/>
      <c r="U15" s="1"/>
    </row>
    <row r="16" spans="1:21" x14ac:dyDescent="0.4">
      <c r="A16" s="35">
        <v>2005</v>
      </c>
      <c r="B16" s="14">
        <v>232092</v>
      </c>
      <c r="C16" s="11">
        <v>36275</v>
      </c>
      <c r="D16" s="12">
        <v>54327</v>
      </c>
      <c r="E16" s="12">
        <v>53693</v>
      </c>
      <c r="F16" s="12">
        <v>50179</v>
      </c>
      <c r="G16" s="12">
        <v>28967</v>
      </c>
      <c r="H16" s="12">
        <v>8279</v>
      </c>
      <c r="I16" s="13">
        <v>372</v>
      </c>
      <c r="J16" s="25">
        <f t="shared" si="1"/>
        <v>15.629577925994864</v>
      </c>
      <c r="K16" s="26">
        <f t="shared" si="0"/>
        <v>23.40752804922186</v>
      </c>
      <c r="L16" s="26">
        <f t="shared" si="0"/>
        <v>23.134360512210677</v>
      </c>
      <c r="M16" s="26">
        <f t="shared" si="0"/>
        <v>21.620305740826915</v>
      </c>
      <c r="N16" s="26">
        <f t="shared" si="0"/>
        <v>12.480826568774452</v>
      </c>
      <c r="O16" s="26">
        <f t="shared" si="0"/>
        <v>3.5671199351981113</v>
      </c>
      <c r="P16" s="27">
        <f t="shared" si="0"/>
        <v>0.16028126777312446</v>
      </c>
      <c r="Q16" s="4"/>
      <c r="R16" s="4"/>
      <c r="S16" s="1"/>
      <c r="T16" s="1"/>
      <c r="U16" s="1"/>
    </row>
    <row r="17" spans="1:21" x14ac:dyDescent="0.4">
      <c r="A17" s="35">
        <v>2006</v>
      </c>
      <c r="B17" s="14">
        <v>233104</v>
      </c>
      <c r="C17" s="11">
        <v>38054</v>
      </c>
      <c r="D17" s="12">
        <v>54716</v>
      </c>
      <c r="E17" s="12">
        <v>52777</v>
      </c>
      <c r="F17" s="12">
        <v>49702</v>
      </c>
      <c r="G17" s="12">
        <v>28981</v>
      </c>
      <c r="H17" s="12">
        <v>8434</v>
      </c>
      <c r="I17" s="13">
        <v>440</v>
      </c>
      <c r="J17" s="25">
        <f t="shared" si="1"/>
        <v>16.324902189580616</v>
      </c>
      <c r="K17" s="26">
        <f t="shared" si="0"/>
        <v>23.472784679799574</v>
      </c>
      <c r="L17" s="26">
        <f t="shared" si="0"/>
        <v>22.640967121971308</v>
      </c>
      <c r="M17" s="26">
        <f t="shared" si="0"/>
        <v>21.321813439494818</v>
      </c>
      <c r="N17" s="26">
        <f t="shared" si="0"/>
        <v>12.432648088406891</v>
      </c>
      <c r="O17" s="26">
        <f t="shared" si="0"/>
        <v>3.6181275310590983</v>
      </c>
      <c r="P17" s="27">
        <f t="shared" si="0"/>
        <v>0.18875694968769305</v>
      </c>
      <c r="Q17" s="4"/>
      <c r="R17" s="4"/>
      <c r="S17" s="1"/>
      <c r="T17" s="1"/>
      <c r="U17" s="1"/>
    </row>
    <row r="18" spans="1:21" x14ac:dyDescent="0.4">
      <c r="A18" s="35">
        <v>2007</v>
      </c>
      <c r="B18" s="14">
        <v>242054</v>
      </c>
      <c r="C18" s="11">
        <v>39857</v>
      </c>
      <c r="D18" s="12">
        <v>56531</v>
      </c>
      <c r="E18" s="12">
        <v>56788</v>
      </c>
      <c r="F18" s="12">
        <v>50470</v>
      </c>
      <c r="G18" s="12">
        <v>29625</v>
      </c>
      <c r="H18" s="12">
        <v>8377</v>
      </c>
      <c r="I18" s="13">
        <v>406</v>
      </c>
      <c r="J18" s="25">
        <f t="shared" si="1"/>
        <v>16.46616044353739</v>
      </c>
      <c r="K18" s="26">
        <f t="shared" si="0"/>
        <v>23.354705974699861</v>
      </c>
      <c r="L18" s="26">
        <f t="shared" si="0"/>
        <v>23.460880629942078</v>
      </c>
      <c r="M18" s="26">
        <f t="shared" si="0"/>
        <v>20.850719260991347</v>
      </c>
      <c r="N18" s="26">
        <f t="shared" si="0"/>
        <v>12.239004519652639</v>
      </c>
      <c r="O18" s="26">
        <f t="shared" si="0"/>
        <v>3.4607980037512287</v>
      </c>
      <c r="P18" s="27">
        <f t="shared" si="0"/>
        <v>0.16773116742545052</v>
      </c>
      <c r="Q18" s="4"/>
      <c r="R18" s="4"/>
      <c r="S18" s="1"/>
      <c r="T18" s="1"/>
      <c r="U18" s="1"/>
    </row>
    <row r="19" spans="1:21" x14ac:dyDescent="0.4">
      <c r="A19" s="35">
        <v>2008</v>
      </c>
      <c r="B19" s="14">
        <v>248366</v>
      </c>
      <c r="C19" s="11">
        <v>41229</v>
      </c>
      <c r="D19" s="12">
        <v>58342</v>
      </c>
      <c r="E19" s="12">
        <v>58768</v>
      </c>
      <c r="F19" s="12">
        <v>50763</v>
      </c>
      <c r="G19" s="12">
        <v>30457</v>
      </c>
      <c r="H19" s="12">
        <v>8368</v>
      </c>
      <c r="I19" s="13">
        <v>439</v>
      </c>
      <c r="J19" s="25">
        <f t="shared" si="1"/>
        <v>16.600098242110434</v>
      </c>
      <c r="K19" s="26">
        <f t="shared" ref="K19:K35" si="2">(D19/$B19)*100</f>
        <v>23.490332815280674</v>
      </c>
      <c r="L19" s="26">
        <f t="shared" ref="L19:L35" si="3">(E19/$B19)*100</f>
        <v>23.661853876939677</v>
      </c>
      <c r="M19" s="26">
        <f t="shared" ref="M19:M35" si="4">(F19/$B19)*100</f>
        <v>20.438787917830943</v>
      </c>
      <c r="N19" s="26">
        <f t="shared" ref="N19:N35" si="5">(G19/$B19)*100</f>
        <v>12.262950645418455</v>
      </c>
      <c r="O19" s="26">
        <f t="shared" ref="O19:O35" si="6">(H19/$B19)*100</f>
        <v>3.3692212299590123</v>
      </c>
      <c r="P19" s="27">
        <f t="shared" ref="P19:P35" si="7">(I19/$B19)*100</f>
        <v>0.17675527246080383</v>
      </c>
      <c r="Q19" s="4"/>
      <c r="R19" s="4"/>
      <c r="S19" s="1"/>
      <c r="T19" s="1"/>
      <c r="U19" s="1"/>
    </row>
    <row r="20" spans="1:21" x14ac:dyDescent="0.4">
      <c r="A20" s="35">
        <v>2009</v>
      </c>
      <c r="B20" s="14">
        <v>253574</v>
      </c>
      <c r="C20" s="11">
        <v>40927</v>
      </c>
      <c r="D20" s="12">
        <v>60695</v>
      </c>
      <c r="E20" s="12">
        <v>61096</v>
      </c>
      <c r="F20" s="12">
        <v>50232</v>
      </c>
      <c r="G20" s="12">
        <v>31549</v>
      </c>
      <c r="H20" s="12">
        <v>8629</v>
      </c>
      <c r="I20" s="13">
        <v>446</v>
      </c>
      <c r="J20" s="25">
        <f t="shared" si="1"/>
        <v>16.140061678247768</v>
      </c>
      <c r="K20" s="26">
        <f t="shared" si="2"/>
        <v>23.935813608650729</v>
      </c>
      <c r="L20" s="26">
        <f t="shared" si="3"/>
        <v>24.093952850055604</v>
      </c>
      <c r="M20" s="26">
        <f t="shared" si="4"/>
        <v>19.809601930797321</v>
      </c>
      <c r="N20" s="26">
        <f t="shared" si="5"/>
        <v>12.441732985242966</v>
      </c>
      <c r="O20" s="26">
        <f t="shared" si="6"/>
        <v>3.4029514066899602</v>
      </c>
      <c r="P20" s="27">
        <f t="shared" si="7"/>
        <v>0.17588554031564749</v>
      </c>
      <c r="Q20" s="4"/>
      <c r="R20" s="4"/>
      <c r="S20" s="1"/>
      <c r="T20" s="1"/>
      <c r="U20" s="1"/>
    </row>
    <row r="21" spans="1:21" x14ac:dyDescent="0.4">
      <c r="A21" s="35">
        <v>2010</v>
      </c>
      <c r="B21" s="14">
        <v>251199</v>
      </c>
      <c r="C21" s="11">
        <v>39105</v>
      </c>
      <c r="D21" s="12">
        <v>60029</v>
      </c>
      <c r="E21" s="12">
        <v>59768</v>
      </c>
      <c r="F21" s="12">
        <v>50965</v>
      </c>
      <c r="G21" s="12">
        <v>32379</v>
      </c>
      <c r="H21" s="12">
        <v>8499</v>
      </c>
      <c r="I21" s="13">
        <v>454</v>
      </c>
      <c r="J21" s="25">
        <f t="shared" si="1"/>
        <v>15.567339041954783</v>
      </c>
      <c r="K21" s="26">
        <f t="shared" si="2"/>
        <v>23.89699003578836</v>
      </c>
      <c r="L21" s="26">
        <f t="shared" si="3"/>
        <v>23.793088348281639</v>
      </c>
      <c r="M21" s="26">
        <f t="shared" si="4"/>
        <v>20.28869541678112</v>
      </c>
      <c r="N21" s="26">
        <f t="shared" si="5"/>
        <v>12.889780612183966</v>
      </c>
      <c r="O21" s="26">
        <f t="shared" si="6"/>
        <v>3.383373341454385</v>
      </c>
      <c r="P21" s="27">
        <f t="shared" si="7"/>
        <v>0.18073320355574662</v>
      </c>
      <c r="Q21" s="4"/>
      <c r="R21" s="4"/>
      <c r="S21" s="1"/>
      <c r="T21" s="1"/>
      <c r="U21" s="1"/>
    </row>
    <row r="22" spans="1:21" x14ac:dyDescent="0.4">
      <c r="A22" s="35">
        <v>2011</v>
      </c>
      <c r="B22" s="14">
        <v>248879</v>
      </c>
      <c r="C22" s="11">
        <v>37446</v>
      </c>
      <c r="D22" s="12">
        <v>59750</v>
      </c>
      <c r="E22" s="12">
        <v>59216</v>
      </c>
      <c r="F22" s="12">
        <v>50988</v>
      </c>
      <c r="G22" s="12">
        <v>32283</v>
      </c>
      <c r="H22" s="12">
        <v>8707</v>
      </c>
      <c r="I22" s="13">
        <v>489</v>
      </c>
      <c r="J22" s="25">
        <f t="shared" si="1"/>
        <v>15.045865661626735</v>
      </c>
      <c r="K22" s="26">
        <f t="shared" si="2"/>
        <v>24.007650303962972</v>
      </c>
      <c r="L22" s="26">
        <f t="shared" si="3"/>
        <v>23.79308820752253</v>
      </c>
      <c r="M22" s="26">
        <f t="shared" si="4"/>
        <v>20.487063994953374</v>
      </c>
      <c r="N22" s="26">
        <f t="shared" si="5"/>
        <v>12.971363594357097</v>
      </c>
      <c r="O22" s="26">
        <f t="shared" si="6"/>
        <v>3.4984872166795911</v>
      </c>
      <c r="P22" s="27">
        <f t="shared" si="7"/>
        <v>0.19648102089770531</v>
      </c>
      <c r="Q22" s="4"/>
      <c r="R22" s="4"/>
      <c r="S22" s="1"/>
      <c r="T22" s="1"/>
      <c r="U22" s="1"/>
    </row>
    <row r="23" spans="1:21" x14ac:dyDescent="0.4">
      <c r="A23" s="35">
        <v>2012</v>
      </c>
      <c r="B23" s="14">
        <v>243858</v>
      </c>
      <c r="C23" s="11">
        <v>35221</v>
      </c>
      <c r="D23" s="12">
        <v>58206</v>
      </c>
      <c r="E23" s="12">
        <v>57551</v>
      </c>
      <c r="F23" s="12">
        <v>52440</v>
      </c>
      <c r="G23" s="12">
        <v>31508</v>
      </c>
      <c r="H23" s="12">
        <v>8458</v>
      </c>
      <c r="I23" s="13">
        <v>474</v>
      </c>
      <c r="J23" s="25">
        <f t="shared" si="1"/>
        <v>14.44324155861198</v>
      </c>
      <c r="K23" s="26">
        <f t="shared" si="2"/>
        <v>23.868808896981029</v>
      </c>
      <c r="L23" s="26">
        <f t="shared" si="3"/>
        <v>23.600209958254396</v>
      </c>
      <c r="M23" s="26">
        <f t="shared" si="4"/>
        <v>21.504318086755404</v>
      </c>
      <c r="N23" s="26">
        <f t="shared" si="5"/>
        <v>12.920634139540224</v>
      </c>
      <c r="O23" s="26">
        <f t="shared" si="6"/>
        <v>3.468411944656316</v>
      </c>
      <c r="P23" s="27">
        <f t="shared" si="7"/>
        <v>0.19437541520064955</v>
      </c>
      <c r="Q23" s="4"/>
      <c r="R23" s="4"/>
      <c r="S23" s="1"/>
      <c r="T23" s="1"/>
      <c r="U23" s="1"/>
    </row>
    <row r="24" spans="1:21" x14ac:dyDescent="0.4">
      <c r="A24" s="35">
        <v>2013</v>
      </c>
      <c r="B24" s="14">
        <v>242862</v>
      </c>
      <c r="C24" s="11">
        <v>32529</v>
      </c>
      <c r="D24" s="12">
        <v>57110</v>
      </c>
      <c r="E24" s="12">
        <v>58357</v>
      </c>
      <c r="F24" s="12">
        <v>53825</v>
      </c>
      <c r="G24" s="12">
        <v>31732</v>
      </c>
      <c r="H24" s="12">
        <v>8847</v>
      </c>
      <c r="I24" s="13">
        <v>462</v>
      </c>
      <c r="J24" s="25">
        <f t="shared" si="1"/>
        <v>13.394026237122317</v>
      </c>
      <c r="K24" s="26">
        <f t="shared" si="2"/>
        <v>23.51541204470028</v>
      </c>
      <c r="L24" s="26">
        <f t="shared" si="3"/>
        <v>24.028872363729196</v>
      </c>
      <c r="M24" s="26">
        <f t="shared" si="4"/>
        <v>22.162792038276883</v>
      </c>
      <c r="N24" s="26">
        <f t="shared" si="5"/>
        <v>13.065856329932224</v>
      </c>
      <c r="O24" s="26">
        <f t="shared" si="6"/>
        <v>3.6428094967512412</v>
      </c>
      <c r="P24" s="27">
        <f t="shared" si="7"/>
        <v>0.19023148948785729</v>
      </c>
      <c r="Q24" s="4"/>
      <c r="R24" s="4"/>
      <c r="S24" s="1"/>
      <c r="T24" s="1"/>
      <c r="U24" s="1"/>
    </row>
    <row r="25" spans="1:21" x14ac:dyDescent="0.4">
      <c r="A25" s="35">
        <v>2014</v>
      </c>
      <c r="B25" s="14">
        <v>252194</v>
      </c>
      <c r="C25" s="11">
        <v>30457</v>
      </c>
      <c r="D25" s="12">
        <v>57900</v>
      </c>
      <c r="E25" s="12">
        <v>63125</v>
      </c>
      <c r="F25" s="12">
        <v>57807</v>
      </c>
      <c r="G25" s="12">
        <v>33052</v>
      </c>
      <c r="H25" s="12">
        <v>9348</v>
      </c>
      <c r="I25" s="13">
        <v>505</v>
      </c>
      <c r="J25" s="25">
        <f t="shared" si="1"/>
        <v>12.076813881377035</v>
      </c>
      <c r="K25" s="26">
        <f t="shared" si="2"/>
        <v>22.958516063030842</v>
      </c>
      <c r="L25" s="26">
        <f t="shared" si="3"/>
        <v>25.030333790653224</v>
      </c>
      <c r="M25" s="26">
        <f t="shared" si="4"/>
        <v>22.921639690079861</v>
      </c>
      <c r="N25" s="26">
        <f t="shared" si="5"/>
        <v>13.105783642751215</v>
      </c>
      <c r="O25" s="26">
        <f t="shared" si="6"/>
        <v>3.7066702617825955</v>
      </c>
      <c r="P25" s="27">
        <f t="shared" si="7"/>
        <v>0.20024267032522583</v>
      </c>
      <c r="Q25" s="4"/>
      <c r="R25" s="4"/>
      <c r="S25" s="1"/>
      <c r="T25" s="1"/>
      <c r="U25" s="1"/>
    </row>
    <row r="26" spans="1:21" x14ac:dyDescent="0.4">
      <c r="A26" s="35">
        <v>2015</v>
      </c>
      <c r="B26" s="14">
        <v>245406</v>
      </c>
      <c r="C26" s="11">
        <v>26245</v>
      </c>
      <c r="D26" s="12">
        <v>54428</v>
      </c>
      <c r="E26" s="12">
        <v>63405</v>
      </c>
      <c r="F26" s="12">
        <v>57549</v>
      </c>
      <c r="G26" s="12">
        <v>33699</v>
      </c>
      <c r="H26" s="12">
        <v>9574</v>
      </c>
      <c r="I26" s="13">
        <v>506</v>
      </c>
      <c r="J26" s="25">
        <f t="shared" si="1"/>
        <v>10.694522546311012</v>
      </c>
      <c r="K26" s="26">
        <f t="shared" si="2"/>
        <v>22.178756835611189</v>
      </c>
      <c r="L26" s="26">
        <f t="shared" si="3"/>
        <v>25.836776606928925</v>
      </c>
      <c r="M26" s="26">
        <f t="shared" si="4"/>
        <v>23.450526881983325</v>
      </c>
      <c r="N26" s="26">
        <f t="shared" si="5"/>
        <v>13.731938094423118</v>
      </c>
      <c r="O26" s="26">
        <f t="shared" si="6"/>
        <v>3.9012901070063486</v>
      </c>
      <c r="P26" s="27">
        <f t="shared" si="7"/>
        <v>0.20618892773607819</v>
      </c>
      <c r="Q26" s="4"/>
      <c r="R26" s="4"/>
      <c r="S26" s="1"/>
      <c r="T26" s="1"/>
      <c r="U26" s="1"/>
    </row>
    <row r="27" spans="1:21" x14ac:dyDescent="0.4">
      <c r="A27" s="35">
        <v>2016</v>
      </c>
      <c r="B27" s="14">
        <v>232616</v>
      </c>
      <c r="C27" s="11">
        <v>21254</v>
      </c>
      <c r="D27" s="12">
        <v>49083</v>
      </c>
      <c r="E27" s="12">
        <v>61980</v>
      </c>
      <c r="F27" s="12">
        <v>56550</v>
      </c>
      <c r="G27" s="12">
        <v>33699</v>
      </c>
      <c r="H27" s="12">
        <v>9535</v>
      </c>
      <c r="I27" s="13">
        <v>515</v>
      </c>
      <c r="J27" s="25">
        <f t="shared" si="1"/>
        <v>9.1369467276541592</v>
      </c>
      <c r="K27" s="26">
        <f t="shared" si="2"/>
        <v>21.100440210475636</v>
      </c>
      <c r="L27" s="26">
        <f t="shared" si="3"/>
        <v>26.644770781029681</v>
      </c>
      <c r="M27" s="26">
        <f t="shared" si="4"/>
        <v>24.310451559651959</v>
      </c>
      <c r="N27" s="26">
        <f t="shared" si="5"/>
        <v>14.486965642948036</v>
      </c>
      <c r="O27" s="26">
        <f t="shared" si="6"/>
        <v>4.0990301612958699</v>
      </c>
      <c r="P27" s="27">
        <f t="shared" si="7"/>
        <v>0.22139491694466418</v>
      </c>
      <c r="Q27" s="4"/>
      <c r="R27" s="4"/>
      <c r="S27" s="1"/>
      <c r="T27" s="1"/>
      <c r="U27" s="1"/>
    </row>
    <row r="28" spans="1:21" x14ac:dyDescent="0.4">
      <c r="A28" s="35">
        <v>2017</v>
      </c>
      <c r="B28" s="14">
        <v>219494</v>
      </c>
      <c r="C28" s="11">
        <v>17409</v>
      </c>
      <c r="D28" s="12">
        <v>45162</v>
      </c>
      <c r="E28" s="12">
        <v>59594</v>
      </c>
      <c r="F28" s="12">
        <v>54055</v>
      </c>
      <c r="G28" s="12">
        <v>33601</v>
      </c>
      <c r="H28" s="12">
        <v>9116</v>
      </c>
      <c r="I28" s="13">
        <v>557</v>
      </c>
      <c r="J28" s="25">
        <f t="shared" si="1"/>
        <v>7.9314240935970917</v>
      </c>
      <c r="K28" s="26">
        <f t="shared" si="2"/>
        <v>20.57550548078763</v>
      </c>
      <c r="L28" s="26">
        <f t="shared" si="3"/>
        <v>27.150628263187148</v>
      </c>
      <c r="M28" s="26">
        <f t="shared" si="4"/>
        <v>24.627096868251524</v>
      </c>
      <c r="N28" s="26">
        <f t="shared" si="5"/>
        <v>15.308391117752649</v>
      </c>
      <c r="O28" s="26">
        <f t="shared" si="6"/>
        <v>4.153188697640938</v>
      </c>
      <c r="P28" s="27">
        <f t="shared" si="7"/>
        <v>0.25376547878301914</v>
      </c>
      <c r="Q28" s="4"/>
      <c r="R28" s="4"/>
      <c r="S28" s="1"/>
      <c r="T28" s="1"/>
      <c r="U28" s="1"/>
    </row>
    <row r="29" spans="1:21" x14ac:dyDescent="0.4">
      <c r="A29" s="35">
        <v>2018</v>
      </c>
      <c r="B29" s="14">
        <v>222088</v>
      </c>
      <c r="C29" s="11">
        <v>14679</v>
      </c>
      <c r="D29" s="12">
        <v>44774</v>
      </c>
      <c r="E29" s="12">
        <v>61553</v>
      </c>
      <c r="F29" s="12">
        <v>56541</v>
      </c>
      <c r="G29" s="12">
        <v>35032</v>
      </c>
      <c r="H29" s="12">
        <v>8963</v>
      </c>
      <c r="I29" s="13">
        <v>546</v>
      </c>
      <c r="J29" s="25">
        <f t="shared" si="1"/>
        <v>6.6095421634667337</v>
      </c>
      <c r="K29" s="26">
        <f t="shared" si="2"/>
        <v>20.160476928064551</v>
      </c>
      <c r="L29" s="26">
        <f t="shared" si="3"/>
        <v>27.71559021649076</v>
      </c>
      <c r="M29" s="26">
        <f t="shared" si="4"/>
        <v>25.45882713158748</v>
      </c>
      <c r="N29" s="26">
        <f t="shared" si="5"/>
        <v>15.773927452181116</v>
      </c>
      <c r="O29" s="26">
        <f t="shared" si="6"/>
        <v>4.0357876157198946</v>
      </c>
      <c r="P29" s="27">
        <f t="shared" si="7"/>
        <v>0.24584849248946364</v>
      </c>
      <c r="Q29" s="4"/>
      <c r="R29" s="4"/>
      <c r="S29" s="1"/>
      <c r="T29" s="1"/>
      <c r="U29" s="1"/>
    </row>
    <row r="30" spans="1:21" x14ac:dyDescent="0.4">
      <c r="A30" s="35">
        <v>2019</v>
      </c>
      <c r="B30" s="14">
        <v>210413</v>
      </c>
      <c r="C30" s="11">
        <v>11997</v>
      </c>
      <c r="D30" s="12">
        <v>40263</v>
      </c>
      <c r="E30" s="12">
        <v>58401</v>
      </c>
      <c r="F30" s="12">
        <v>56201</v>
      </c>
      <c r="G30" s="12">
        <v>34158</v>
      </c>
      <c r="H30" s="12">
        <v>8852</v>
      </c>
      <c r="I30" s="13">
        <v>541</v>
      </c>
      <c r="J30" s="25">
        <f t="shared" si="1"/>
        <v>5.701643909834468</v>
      </c>
      <c r="K30" s="26">
        <f t="shared" si="2"/>
        <v>19.135224534605751</v>
      </c>
      <c r="L30" s="26">
        <f t="shared" si="3"/>
        <v>27.755414351774842</v>
      </c>
      <c r="M30" s="26">
        <f t="shared" si="4"/>
        <v>26.709851577611648</v>
      </c>
      <c r="N30" s="26">
        <f t="shared" si="5"/>
        <v>16.233787836302891</v>
      </c>
      <c r="O30" s="26">
        <f t="shared" si="6"/>
        <v>4.20696439858754</v>
      </c>
      <c r="P30" s="27">
        <f t="shared" si="7"/>
        <v>0.25711339128285798</v>
      </c>
      <c r="Q30" s="4"/>
      <c r="R30" s="4"/>
      <c r="S30" s="1"/>
      <c r="T30" s="1"/>
      <c r="U30" s="1"/>
    </row>
    <row r="31" spans="1:21" x14ac:dyDescent="0.4">
      <c r="A31" s="35">
        <v>2020</v>
      </c>
      <c r="B31" s="14">
        <v>195229</v>
      </c>
      <c r="C31" s="11">
        <v>9781</v>
      </c>
      <c r="D31" s="12">
        <v>35819</v>
      </c>
      <c r="E31" s="12">
        <v>53662</v>
      </c>
      <c r="F31" s="12">
        <v>54312</v>
      </c>
      <c r="G31" s="12">
        <v>32650</v>
      </c>
      <c r="H31" s="12">
        <v>8464</v>
      </c>
      <c r="I31" s="13">
        <v>541</v>
      </c>
      <c r="J31" s="25">
        <f t="shared" si="1"/>
        <v>5.010013881134463</v>
      </c>
      <c r="K31" s="26">
        <f t="shared" si="2"/>
        <v>18.347171782880618</v>
      </c>
      <c r="L31" s="26">
        <f t="shared" si="3"/>
        <v>27.486695111894239</v>
      </c>
      <c r="M31" s="26">
        <f t="shared" si="4"/>
        <v>27.819637451403224</v>
      </c>
      <c r="N31" s="26">
        <f t="shared" si="5"/>
        <v>16.723949823028342</v>
      </c>
      <c r="O31" s="26">
        <f t="shared" si="6"/>
        <v>4.3354214793908694</v>
      </c>
      <c r="P31" s="27">
        <f t="shared" si="7"/>
        <v>0.27711047026824909</v>
      </c>
      <c r="Q31" s="4"/>
      <c r="R31" s="4"/>
      <c r="S31" s="1"/>
      <c r="T31" s="1"/>
      <c r="U31" s="1"/>
    </row>
    <row r="32" spans="1:21" x14ac:dyDescent="0.4">
      <c r="A32" s="35">
        <v>2021</v>
      </c>
      <c r="B32" s="14">
        <v>177467</v>
      </c>
      <c r="C32" s="11">
        <v>7273</v>
      </c>
      <c r="D32" s="12">
        <v>30443</v>
      </c>
      <c r="E32" s="12">
        <v>47890</v>
      </c>
      <c r="F32" s="12">
        <v>52161</v>
      </c>
      <c r="G32" s="12">
        <v>31006</v>
      </c>
      <c r="H32" s="12">
        <v>8236</v>
      </c>
      <c r="I32" s="14">
        <v>458</v>
      </c>
      <c r="J32" s="25">
        <f t="shared" si="1"/>
        <v>4.0982267125719147</v>
      </c>
      <c r="K32" s="26">
        <f t="shared" si="2"/>
        <v>17.154175142420844</v>
      </c>
      <c r="L32" s="26">
        <f t="shared" si="3"/>
        <v>26.985298675246668</v>
      </c>
      <c r="M32" s="26">
        <f t="shared" si="4"/>
        <v>29.391943290865346</v>
      </c>
      <c r="N32" s="26">
        <f t="shared" si="5"/>
        <v>17.471417221229864</v>
      </c>
      <c r="O32" s="26">
        <f t="shared" si="6"/>
        <v>4.6408628082967534</v>
      </c>
      <c r="P32" s="27">
        <f t="shared" si="7"/>
        <v>0.258076149368615</v>
      </c>
      <c r="Q32" s="4"/>
      <c r="R32" s="4"/>
      <c r="S32" s="1"/>
      <c r="T32" s="1"/>
      <c r="U32" s="1"/>
    </row>
    <row r="33" spans="1:21" x14ac:dyDescent="0.4">
      <c r="A33" s="35">
        <v>2022</v>
      </c>
      <c r="B33" s="14">
        <v>189503</v>
      </c>
      <c r="C33" s="11">
        <v>7374</v>
      </c>
      <c r="D33" s="12">
        <v>31753</v>
      </c>
      <c r="E33" s="12">
        <v>50770</v>
      </c>
      <c r="F33" s="12">
        <v>56153</v>
      </c>
      <c r="G33" s="12">
        <v>33806</v>
      </c>
      <c r="H33" s="12">
        <v>9053</v>
      </c>
      <c r="I33" s="14">
        <v>594</v>
      </c>
      <c r="J33" s="25">
        <f t="shared" si="1"/>
        <v>3.8912312733835352</v>
      </c>
      <c r="K33" s="26">
        <f t="shared" si="2"/>
        <v>16.755935262238591</v>
      </c>
      <c r="L33" s="26">
        <f t="shared" si="3"/>
        <v>26.79113259420695</v>
      </c>
      <c r="M33" s="26">
        <f t="shared" si="4"/>
        <v>29.631720869854306</v>
      </c>
      <c r="N33" s="26">
        <f t="shared" si="5"/>
        <v>17.839295420125275</v>
      </c>
      <c r="O33" s="26">
        <f t="shared" si="6"/>
        <v>4.7772330781043042</v>
      </c>
      <c r="P33" s="27">
        <f t="shared" si="7"/>
        <v>0.3134515020870382</v>
      </c>
      <c r="Q33" s="4"/>
      <c r="R33" s="4"/>
      <c r="S33" s="1"/>
      <c r="T33" s="1"/>
      <c r="U33" s="1"/>
    </row>
    <row r="34" spans="1:21" x14ac:dyDescent="0.4">
      <c r="A34" s="36">
        <v>2023</v>
      </c>
      <c r="B34" s="14">
        <v>174067</v>
      </c>
      <c r="C34" s="11">
        <v>6686</v>
      </c>
      <c r="D34" s="12">
        <v>28793</v>
      </c>
      <c r="E34" s="12">
        <v>45814</v>
      </c>
      <c r="F34" s="12">
        <v>51168</v>
      </c>
      <c r="G34" s="12">
        <v>32075</v>
      </c>
      <c r="H34" s="12">
        <v>8886</v>
      </c>
      <c r="I34" s="13">
        <v>645</v>
      </c>
      <c r="J34" s="25">
        <f t="shared" si="1"/>
        <v>3.8410497107435644</v>
      </c>
      <c r="K34" s="26">
        <f t="shared" si="2"/>
        <v>16.541331786036412</v>
      </c>
      <c r="L34" s="26">
        <f t="shared" si="3"/>
        <v>26.319750440922174</v>
      </c>
      <c r="M34" s="26">
        <f t="shared" si="4"/>
        <v>29.395577564960618</v>
      </c>
      <c r="N34" s="26">
        <f t="shared" si="5"/>
        <v>18.426812664089116</v>
      </c>
      <c r="O34" s="26">
        <f t="shared" si="6"/>
        <v>5.1049308599562231</v>
      </c>
      <c r="P34" s="27">
        <f t="shared" si="7"/>
        <v>0.37054697329189334</v>
      </c>
      <c r="Q34" s="4"/>
      <c r="R34" s="4"/>
      <c r="S34" s="1"/>
      <c r="T34" s="1"/>
      <c r="U34" s="1"/>
    </row>
    <row r="35" spans="1:21" x14ac:dyDescent="0.4">
      <c r="A35" s="37">
        <v>2024</v>
      </c>
      <c r="B35" s="38">
        <v>154441</v>
      </c>
      <c r="C35" s="15">
        <v>5695</v>
      </c>
      <c r="D35" s="16">
        <v>24724</v>
      </c>
      <c r="E35" s="16">
        <v>39893</v>
      </c>
      <c r="F35" s="16">
        <v>45751</v>
      </c>
      <c r="G35" s="16">
        <v>29856</v>
      </c>
      <c r="H35" s="16">
        <v>7973</v>
      </c>
      <c r="I35" s="17">
        <v>549</v>
      </c>
      <c r="J35" s="28">
        <f t="shared" si="1"/>
        <v>3.6874923109795974</v>
      </c>
      <c r="K35" s="29">
        <f t="shared" si="2"/>
        <v>16.008702352354621</v>
      </c>
      <c r="L35" s="29">
        <f t="shared" si="3"/>
        <v>25.830576077595975</v>
      </c>
      <c r="M35" s="29">
        <f t="shared" si="4"/>
        <v>29.62361031073355</v>
      </c>
      <c r="N35" s="29">
        <f t="shared" si="5"/>
        <v>19.33165415919348</v>
      </c>
      <c r="O35" s="29">
        <f t="shared" si="6"/>
        <v>5.162489235371436</v>
      </c>
      <c r="P35" s="30">
        <f t="shared" si="7"/>
        <v>0.3554755537713431</v>
      </c>
      <c r="Q35" s="4"/>
      <c r="R35" s="4"/>
      <c r="S35" s="1"/>
      <c r="T35" s="1"/>
      <c r="U35" s="1"/>
    </row>
    <row r="36" spans="1:21" x14ac:dyDescent="0.4">
      <c r="A36" s="6"/>
      <c r="B36" s="3"/>
      <c r="C36" s="3"/>
      <c r="D36" s="3"/>
      <c r="E36" s="3"/>
      <c r="F36" s="3"/>
      <c r="G36" s="3"/>
      <c r="H36" s="3"/>
      <c r="J36" s="1"/>
      <c r="K36" s="1"/>
      <c r="L36" s="1"/>
      <c r="M36" s="1"/>
      <c r="N36" s="1"/>
      <c r="O36" s="1"/>
      <c r="P36" s="1"/>
      <c r="Q36" s="4"/>
      <c r="R36" s="4"/>
      <c r="S36" s="1"/>
      <c r="T36" s="1"/>
      <c r="U36" s="1"/>
    </row>
    <row r="37" spans="1:21" x14ac:dyDescent="0.4">
      <c r="A37" s="7" t="s">
        <v>1</v>
      </c>
      <c r="B37" s="3"/>
      <c r="C37" s="1"/>
      <c r="D37" s="6"/>
      <c r="E37" s="6"/>
      <c r="F37" s="6"/>
      <c r="G37" s="6"/>
      <c r="H37" s="6"/>
    </row>
    <row r="38" spans="1:21" x14ac:dyDescent="0.4">
      <c r="A38" t="s">
        <v>2</v>
      </c>
      <c r="B38" s="3"/>
    </row>
    <row r="39" spans="1:21" x14ac:dyDescent="0.4">
      <c r="A39" t="s">
        <v>0</v>
      </c>
      <c r="B39" s="3"/>
    </row>
    <row r="40" spans="1:21" x14ac:dyDescent="0.4">
      <c r="A40" t="s">
        <v>3</v>
      </c>
      <c r="B40" s="3"/>
    </row>
    <row r="41" spans="1:21" x14ac:dyDescent="0.4">
      <c r="A41" t="s">
        <v>4</v>
      </c>
      <c r="B41" s="3"/>
    </row>
    <row r="42" spans="1:21" x14ac:dyDescent="0.4">
      <c r="A42" t="s">
        <v>5</v>
      </c>
      <c r="B42" s="3"/>
    </row>
    <row r="43" spans="1:21" x14ac:dyDescent="0.4">
      <c r="A43" t="s">
        <v>6</v>
      </c>
      <c r="B43" s="3"/>
    </row>
    <row r="44" spans="1:21" x14ac:dyDescent="0.4">
      <c r="A44" t="s">
        <v>7</v>
      </c>
      <c r="B44" s="3"/>
    </row>
    <row r="45" spans="1:21" x14ac:dyDescent="0.4">
      <c r="A45" t="s">
        <v>8</v>
      </c>
      <c r="B45" s="3"/>
    </row>
    <row r="46" spans="1:21" x14ac:dyDescent="0.4">
      <c r="A46" t="s">
        <v>9</v>
      </c>
    </row>
    <row r="47" spans="1:21" x14ac:dyDescent="0.4">
      <c r="A47" t="s">
        <v>10</v>
      </c>
    </row>
    <row r="48" spans="1:21" x14ac:dyDescent="0.4">
      <c r="A48" t="s">
        <v>11</v>
      </c>
    </row>
    <row r="52" spans="1:1" x14ac:dyDescent="0.4">
      <c r="A52" s="5"/>
    </row>
    <row r="57" spans="1:1" x14ac:dyDescent="0.4">
      <c r="A57" s="5"/>
    </row>
  </sheetData>
  <mergeCells count="3">
    <mergeCell ref="C1:I1"/>
    <mergeCell ref="J1:P1"/>
    <mergeCell ref="A1:B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FE437F77C0740468ADA001EAD7623F7" ma:contentTypeVersion="13" ma:contentTypeDescription="Crear nuevo documento." ma:contentTypeScope="" ma:versionID="35834ca3145af75bbeb0293020c990a4">
  <xsd:schema xmlns:xsd="http://www.w3.org/2001/XMLSchema" xmlns:xs="http://www.w3.org/2001/XMLSchema" xmlns:p="http://schemas.microsoft.com/office/2006/metadata/properties" xmlns:ns2="e4ebb80a-8fb9-4c95-96df-a4943c088d41" xmlns:ns3="7b080d0a-826f-44db-9301-35b99b02564a" targetNamespace="http://schemas.microsoft.com/office/2006/metadata/properties" ma:root="true" ma:fieldsID="96694e1de4fa18ca8f9f4447aff00112" ns2:_="" ns3:_="">
    <xsd:import namespace="e4ebb80a-8fb9-4c95-96df-a4943c088d41"/>
    <xsd:import namespace="7b080d0a-826f-44db-9301-35b99b02564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ebb80a-8fb9-4c95-96df-a4943c088d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c6d0a366-f013-4afb-8079-7418cfb1d1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080d0a-826f-44db-9301-35b99b02564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52dc69d-d29d-4571-b79a-94c747f42cd7}" ma:internalName="TaxCatchAll" ma:showField="CatchAllData" ma:web="7b080d0a-826f-44db-9301-35b99b02564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4ebb80a-8fb9-4c95-96df-a4943c088d41">
      <Terms xmlns="http://schemas.microsoft.com/office/infopath/2007/PartnerControls"/>
    </lcf76f155ced4ddcb4097134ff3c332f>
    <TaxCatchAll xmlns="7b080d0a-826f-44db-9301-35b99b02564a" xsi:nil="true"/>
  </documentManagement>
</p:properties>
</file>

<file path=customXml/itemProps1.xml><?xml version="1.0" encoding="utf-8"?>
<ds:datastoreItem xmlns:ds="http://schemas.openxmlformats.org/officeDocument/2006/customXml" ds:itemID="{70E1EB45-E334-475C-8395-5D85CE30FDA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4F85BB8-D068-4D95-A859-E4DCD47B14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ebb80a-8fb9-4c95-96df-a4943c088d41"/>
    <ds:schemaRef ds:uri="7b080d0a-826f-44db-9301-35b99b0256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C91F6E8-3A74-40F0-BC29-529DAD192D4F}">
  <ds:schemaRefs>
    <ds:schemaRef ds:uri="http://schemas.microsoft.com/office/2006/metadata/properties"/>
    <ds:schemaRef ds:uri="http://schemas.microsoft.com/office/infopath/2007/PartnerControls"/>
    <ds:schemaRef ds:uri="e4ebb80a-8fb9-4c95-96df-a4943c088d41"/>
    <ds:schemaRef ds:uri="7b080d0a-826f-44db-9301-35b99b02564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Fecundidad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Diego Andrés Barrientos Espinosa</dc:creator>
  <cp:keywords/>
  <dc:description/>
  <cp:lastModifiedBy>carolina molinare</cp:lastModifiedBy>
  <cp:revision/>
  <dcterms:created xsi:type="dcterms:W3CDTF">2025-02-26T19:03:01Z</dcterms:created>
  <dcterms:modified xsi:type="dcterms:W3CDTF">2026-01-07T00:10:36Z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0x010100DFE437F77C0740468ADA001EAD7623F7</vt:lpwstr>
  </property>
  <property fmtid="{D5CDD505-2E9C-101B-9397-08002B2CF9AE}" pid="3" name="MediaServiceImageTags">
    <vt:lpwstr/>
  </property>
</Properties>
</file>