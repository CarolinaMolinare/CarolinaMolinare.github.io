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4992dce6c32205/Documents/MPP LSE/PP434 - Data Visualisation/Code examples/Proyect/Part2/"/>
    </mc:Choice>
  </mc:AlternateContent>
  <xr:revisionPtr revIDLastSave="63" documentId="8_{4AD06BF6-A314-4F38-9D95-223897E60619}" xr6:coauthVersionLast="47" xr6:coauthVersionMax="47" xr10:uidLastSave="{EABAD022-0F04-495E-AD4D-F93B800CA3BC}"/>
  <bookViews>
    <workbookView xWindow="-98" yWindow="-98" windowWidth="21795" windowHeight="12975" xr2:uid="{3A576A69-E073-47C9-876B-7638AD5F9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1" l="1"/>
  <c r="AD3" i="1"/>
  <c r="AC3" i="1"/>
  <c r="W3" i="1"/>
  <c r="AH6" i="1"/>
  <c r="AI6" i="1"/>
  <c r="AF7" i="1"/>
  <c r="AG7" i="1"/>
  <c r="AH7" i="1"/>
  <c r="AI7" i="1"/>
  <c r="AH8" i="1"/>
  <c r="AI8" i="1"/>
  <c r="AE9" i="1"/>
  <c r="AF9" i="1"/>
  <c r="AG11" i="1"/>
  <c r="AH11" i="1"/>
  <c r="AI11" i="1"/>
  <c r="AF12" i="1"/>
  <c r="AE13" i="1"/>
  <c r="AF13" i="1"/>
  <c r="AG13" i="1"/>
  <c r="AH13" i="1"/>
  <c r="AG16" i="1"/>
  <c r="AF17" i="1"/>
  <c r="AG17" i="1"/>
  <c r="AH17" i="1"/>
  <c r="AI17" i="1"/>
  <c r="AE18" i="1"/>
  <c r="AI19" i="1"/>
  <c r="AE20" i="1"/>
  <c r="AF20" i="1"/>
  <c r="AG20" i="1"/>
  <c r="AH20" i="1"/>
  <c r="AI20" i="1"/>
  <c r="AE22" i="1"/>
  <c r="AF22" i="1"/>
  <c r="AG22" i="1"/>
  <c r="AI24" i="1"/>
  <c r="AH25" i="1"/>
  <c r="AE26" i="1"/>
  <c r="AF26" i="1"/>
  <c r="AG26" i="1"/>
  <c r="AH26" i="1"/>
  <c r="AI26" i="1"/>
  <c r="AH28" i="1"/>
  <c r="AF29" i="1"/>
  <c r="AG29" i="1"/>
  <c r="AH29" i="1"/>
  <c r="AI29" i="1"/>
  <c r="AH30" i="1"/>
  <c r="AI30" i="1"/>
  <c r="AE31" i="1"/>
  <c r="AF31" i="1"/>
  <c r="AG33" i="1"/>
  <c r="AH33" i="1"/>
  <c r="AI33" i="1"/>
  <c r="AE35" i="1"/>
  <c r="AF35" i="1"/>
  <c r="AG35" i="1"/>
  <c r="AH35" i="1"/>
  <c r="AE4" i="1"/>
  <c r="Y4" i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Y21" i="1"/>
  <c r="Z21" i="1"/>
  <c r="AA21" i="1"/>
  <c r="AB21" i="1"/>
  <c r="Y22" i="1"/>
  <c r="Z22" i="1"/>
  <c r="AA22" i="1"/>
  <c r="AB22" i="1"/>
  <c r="Y23" i="1"/>
  <c r="Z23" i="1"/>
  <c r="AA23" i="1"/>
  <c r="AB23" i="1"/>
  <c r="Y24" i="1"/>
  <c r="Z24" i="1"/>
  <c r="AA24" i="1"/>
  <c r="AB24" i="1"/>
  <c r="Y25" i="1"/>
  <c r="Z25" i="1"/>
  <c r="AA25" i="1"/>
  <c r="AB25" i="1"/>
  <c r="Y26" i="1"/>
  <c r="Z26" i="1"/>
  <c r="AA26" i="1"/>
  <c r="AB26" i="1"/>
  <c r="Y27" i="1"/>
  <c r="Z27" i="1"/>
  <c r="AA27" i="1"/>
  <c r="AB27" i="1"/>
  <c r="Y28" i="1"/>
  <c r="Z28" i="1"/>
  <c r="AA28" i="1"/>
  <c r="AB28" i="1"/>
  <c r="Y29" i="1"/>
  <c r="Z29" i="1"/>
  <c r="AA29" i="1"/>
  <c r="AB29" i="1"/>
  <c r="Y30" i="1"/>
  <c r="Z30" i="1"/>
  <c r="AA30" i="1"/>
  <c r="AB30" i="1"/>
  <c r="Y31" i="1"/>
  <c r="Z31" i="1"/>
  <c r="AA31" i="1"/>
  <c r="AB31" i="1"/>
  <c r="Y32" i="1"/>
  <c r="Z32" i="1"/>
  <c r="AA32" i="1"/>
  <c r="AB32" i="1"/>
  <c r="Y33" i="1"/>
  <c r="Z33" i="1"/>
  <c r="AA33" i="1"/>
  <c r="AB33" i="1"/>
  <c r="Y34" i="1"/>
  <c r="Z34" i="1"/>
  <c r="AA34" i="1"/>
  <c r="AB34" i="1"/>
  <c r="Y35" i="1"/>
  <c r="Z35" i="1"/>
  <c r="AA35" i="1"/>
  <c r="AB35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Y3" i="1"/>
  <c r="Z3" i="1"/>
  <c r="AA3" i="1"/>
  <c r="AB3" i="1"/>
  <c r="X4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M4" i="1"/>
  <c r="N4" i="1"/>
  <c r="O4" i="1"/>
  <c r="P4" i="1"/>
  <c r="AF4" i="1" s="1"/>
  <c r="Q4" i="1"/>
  <c r="AG4" i="1" s="1"/>
  <c r="R4" i="1"/>
  <c r="AH4" i="1" s="1"/>
  <c r="S4" i="1"/>
  <c r="AI4" i="1" s="1"/>
  <c r="T4" i="1"/>
  <c r="U4" i="1"/>
  <c r="V4" i="1"/>
  <c r="M5" i="1"/>
  <c r="N5" i="1"/>
  <c r="O5" i="1"/>
  <c r="AE5" i="1" s="1"/>
  <c r="P5" i="1"/>
  <c r="AF5" i="1" s="1"/>
  <c r="Q5" i="1"/>
  <c r="AG5" i="1" s="1"/>
  <c r="R5" i="1"/>
  <c r="AH5" i="1" s="1"/>
  <c r="S5" i="1"/>
  <c r="AI5" i="1" s="1"/>
  <c r="T5" i="1"/>
  <c r="U5" i="1"/>
  <c r="V5" i="1"/>
  <c r="M6" i="1"/>
  <c r="N6" i="1"/>
  <c r="O6" i="1"/>
  <c r="AE6" i="1" s="1"/>
  <c r="P6" i="1"/>
  <c r="AF6" i="1" s="1"/>
  <c r="Q6" i="1"/>
  <c r="AG6" i="1" s="1"/>
  <c r="R6" i="1"/>
  <c r="S6" i="1"/>
  <c r="T6" i="1"/>
  <c r="U6" i="1"/>
  <c r="V6" i="1"/>
  <c r="M7" i="1"/>
  <c r="N7" i="1"/>
  <c r="O7" i="1"/>
  <c r="AE7" i="1" s="1"/>
  <c r="P7" i="1"/>
  <c r="Q7" i="1"/>
  <c r="R7" i="1"/>
  <c r="S7" i="1"/>
  <c r="T7" i="1"/>
  <c r="U7" i="1"/>
  <c r="V7" i="1"/>
  <c r="M8" i="1"/>
  <c r="N8" i="1"/>
  <c r="O8" i="1"/>
  <c r="AE8" i="1" s="1"/>
  <c r="P8" i="1"/>
  <c r="AF8" i="1" s="1"/>
  <c r="Q8" i="1"/>
  <c r="AG8" i="1" s="1"/>
  <c r="R8" i="1"/>
  <c r="S8" i="1"/>
  <c r="T8" i="1"/>
  <c r="U8" i="1"/>
  <c r="V8" i="1"/>
  <c r="M9" i="1"/>
  <c r="N9" i="1"/>
  <c r="O9" i="1"/>
  <c r="P9" i="1"/>
  <c r="Q9" i="1"/>
  <c r="AG9" i="1" s="1"/>
  <c r="R9" i="1"/>
  <c r="AH9" i="1" s="1"/>
  <c r="S9" i="1"/>
  <c r="AI9" i="1" s="1"/>
  <c r="T9" i="1"/>
  <c r="U9" i="1"/>
  <c r="V9" i="1"/>
  <c r="M10" i="1"/>
  <c r="N10" i="1"/>
  <c r="O10" i="1"/>
  <c r="AE10" i="1" s="1"/>
  <c r="P10" i="1"/>
  <c r="AF10" i="1" s="1"/>
  <c r="Q10" i="1"/>
  <c r="AG10" i="1" s="1"/>
  <c r="R10" i="1"/>
  <c r="AH10" i="1" s="1"/>
  <c r="S10" i="1"/>
  <c r="AI10" i="1" s="1"/>
  <c r="T10" i="1"/>
  <c r="U10" i="1"/>
  <c r="V10" i="1"/>
  <c r="M11" i="1"/>
  <c r="N11" i="1"/>
  <c r="O11" i="1"/>
  <c r="AE11" i="1" s="1"/>
  <c r="P11" i="1"/>
  <c r="AF11" i="1" s="1"/>
  <c r="Q11" i="1"/>
  <c r="R11" i="1"/>
  <c r="S11" i="1"/>
  <c r="T11" i="1"/>
  <c r="U11" i="1"/>
  <c r="V11" i="1"/>
  <c r="M12" i="1"/>
  <c r="N12" i="1"/>
  <c r="O12" i="1"/>
  <c r="AE12" i="1" s="1"/>
  <c r="P12" i="1"/>
  <c r="Q12" i="1"/>
  <c r="AG12" i="1" s="1"/>
  <c r="R12" i="1"/>
  <c r="AH12" i="1" s="1"/>
  <c r="S12" i="1"/>
  <c r="AI12" i="1" s="1"/>
  <c r="T12" i="1"/>
  <c r="U12" i="1"/>
  <c r="V12" i="1"/>
  <c r="M13" i="1"/>
  <c r="N13" i="1"/>
  <c r="O13" i="1"/>
  <c r="P13" i="1"/>
  <c r="Q13" i="1"/>
  <c r="R13" i="1"/>
  <c r="S13" i="1"/>
  <c r="AI13" i="1" s="1"/>
  <c r="T13" i="1"/>
  <c r="U13" i="1"/>
  <c r="V13" i="1"/>
  <c r="M14" i="1"/>
  <c r="N14" i="1"/>
  <c r="O14" i="1"/>
  <c r="AE14" i="1" s="1"/>
  <c r="P14" i="1"/>
  <c r="AF14" i="1" s="1"/>
  <c r="Q14" i="1"/>
  <c r="AG14" i="1" s="1"/>
  <c r="R14" i="1"/>
  <c r="AH14" i="1" s="1"/>
  <c r="S14" i="1"/>
  <c r="AI14" i="1" s="1"/>
  <c r="T14" i="1"/>
  <c r="U14" i="1"/>
  <c r="V14" i="1"/>
  <c r="M15" i="1"/>
  <c r="N15" i="1"/>
  <c r="O15" i="1"/>
  <c r="AE15" i="1" s="1"/>
  <c r="P15" i="1"/>
  <c r="AF15" i="1" s="1"/>
  <c r="Q15" i="1"/>
  <c r="AG15" i="1" s="1"/>
  <c r="R15" i="1"/>
  <c r="AH15" i="1" s="1"/>
  <c r="S15" i="1"/>
  <c r="AI15" i="1" s="1"/>
  <c r="T15" i="1"/>
  <c r="U15" i="1"/>
  <c r="V15" i="1"/>
  <c r="M16" i="1"/>
  <c r="N16" i="1"/>
  <c r="O16" i="1"/>
  <c r="AE16" i="1" s="1"/>
  <c r="P16" i="1"/>
  <c r="AF16" i="1" s="1"/>
  <c r="Q16" i="1"/>
  <c r="R16" i="1"/>
  <c r="AH16" i="1" s="1"/>
  <c r="S16" i="1"/>
  <c r="AI16" i="1" s="1"/>
  <c r="T16" i="1"/>
  <c r="U16" i="1"/>
  <c r="V16" i="1"/>
  <c r="M17" i="1"/>
  <c r="N17" i="1"/>
  <c r="O17" i="1"/>
  <c r="AE17" i="1" s="1"/>
  <c r="P17" i="1"/>
  <c r="Q17" i="1"/>
  <c r="R17" i="1"/>
  <c r="S17" i="1"/>
  <c r="T17" i="1"/>
  <c r="U17" i="1"/>
  <c r="V17" i="1"/>
  <c r="M18" i="1"/>
  <c r="N18" i="1"/>
  <c r="O18" i="1"/>
  <c r="P18" i="1"/>
  <c r="AF18" i="1" s="1"/>
  <c r="Q18" i="1"/>
  <c r="AG18" i="1" s="1"/>
  <c r="R18" i="1"/>
  <c r="AH18" i="1" s="1"/>
  <c r="S18" i="1"/>
  <c r="AI18" i="1" s="1"/>
  <c r="T18" i="1"/>
  <c r="U18" i="1"/>
  <c r="V18" i="1"/>
  <c r="M19" i="1"/>
  <c r="N19" i="1"/>
  <c r="O19" i="1"/>
  <c r="AE19" i="1" s="1"/>
  <c r="P19" i="1"/>
  <c r="AF19" i="1" s="1"/>
  <c r="Q19" i="1"/>
  <c r="AG19" i="1" s="1"/>
  <c r="R19" i="1"/>
  <c r="AH19" i="1" s="1"/>
  <c r="S19" i="1"/>
  <c r="T19" i="1"/>
  <c r="U19" i="1"/>
  <c r="V19" i="1"/>
  <c r="M20" i="1"/>
  <c r="N20" i="1"/>
  <c r="O20" i="1"/>
  <c r="P20" i="1"/>
  <c r="Q20" i="1"/>
  <c r="R20" i="1"/>
  <c r="S20" i="1"/>
  <c r="T20" i="1"/>
  <c r="U20" i="1"/>
  <c r="V20" i="1"/>
  <c r="M21" i="1"/>
  <c r="N21" i="1"/>
  <c r="O21" i="1"/>
  <c r="AE21" i="1" s="1"/>
  <c r="P21" i="1"/>
  <c r="AF21" i="1" s="1"/>
  <c r="Q21" i="1"/>
  <c r="AG21" i="1" s="1"/>
  <c r="R21" i="1"/>
  <c r="AH21" i="1" s="1"/>
  <c r="S21" i="1"/>
  <c r="AI21" i="1" s="1"/>
  <c r="T21" i="1"/>
  <c r="U21" i="1"/>
  <c r="V21" i="1"/>
  <c r="M22" i="1"/>
  <c r="N22" i="1"/>
  <c r="O22" i="1"/>
  <c r="P22" i="1"/>
  <c r="Q22" i="1"/>
  <c r="R22" i="1"/>
  <c r="AH22" i="1" s="1"/>
  <c r="S22" i="1"/>
  <c r="AI22" i="1" s="1"/>
  <c r="T22" i="1"/>
  <c r="U22" i="1"/>
  <c r="V22" i="1"/>
  <c r="M23" i="1"/>
  <c r="N23" i="1"/>
  <c r="O23" i="1"/>
  <c r="AE23" i="1" s="1"/>
  <c r="P23" i="1"/>
  <c r="AF23" i="1" s="1"/>
  <c r="Q23" i="1"/>
  <c r="AG23" i="1" s="1"/>
  <c r="R23" i="1"/>
  <c r="AH23" i="1" s="1"/>
  <c r="S23" i="1"/>
  <c r="AI23" i="1" s="1"/>
  <c r="T23" i="1"/>
  <c r="U23" i="1"/>
  <c r="V23" i="1"/>
  <c r="M24" i="1"/>
  <c r="N24" i="1"/>
  <c r="O24" i="1"/>
  <c r="AE24" i="1" s="1"/>
  <c r="P24" i="1"/>
  <c r="AF24" i="1" s="1"/>
  <c r="Q24" i="1"/>
  <c r="AG24" i="1" s="1"/>
  <c r="R24" i="1"/>
  <c r="AH24" i="1" s="1"/>
  <c r="S24" i="1"/>
  <c r="T24" i="1"/>
  <c r="U24" i="1"/>
  <c r="V24" i="1"/>
  <c r="M25" i="1"/>
  <c r="N25" i="1"/>
  <c r="O25" i="1"/>
  <c r="AE25" i="1" s="1"/>
  <c r="P25" i="1"/>
  <c r="AF25" i="1" s="1"/>
  <c r="Q25" i="1"/>
  <c r="AG25" i="1" s="1"/>
  <c r="R25" i="1"/>
  <c r="S25" i="1"/>
  <c r="AI25" i="1" s="1"/>
  <c r="T25" i="1"/>
  <c r="U25" i="1"/>
  <c r="V25" i="1"/>
  <c r="M26" i="1"/>
  <c r="N26" i="1"/>
  <c r="O26" i="1"/>
  <c r="P26" i="1"/>
  <c r="Q26" i="1"/>
  <c r="R26" i="1"/>
  <c r="S26" i="1"/>
  <c r="T26" i="1"/>
  <c r="U26" i="1"/>
  <c r="V26" i="1"/>
  <c r="M27" i="1"/>
  <c r="N27" i="1"/>
  <c r="O27" i="1"/>
  <c r="AE27" i="1" s="1"/>
  <c r="P27" i="1"/>
  <c r="AF27" i="1" s="1"/>
  <c r="Q27" i="1"/>
  <c r="AG27" i="1" s="1"/>
  <c r="R27" i="1"/>
  <c r="AH27" i="1" s="1"/>
  <c r="S27" i="1"/>
  <c r="AI27" i="1" s="1"/>
  <c r="T27" i="1"/>
  <c r="U27" i="1"/>
  <c r="V27" i="1"/>
  <c r="M28" i="1"/>
  <c r="N28" i="1"/>
  <c r="O28" i="1"/>
  <c r="AE28" i="1" s="1"/>
  <c r="P28" i="1"/>
  <c r="AF28" i="1" s="1"/>
  <c r="Q28" i="1"/>
  <c r="AG28" i="1" s="1"/>
  <c r="R28" i="1"/>
  <c r="S28" i="1"/>
  <c r="AI28" i="1" s="1"/>
  <c r="T28" i="1"/>
  <c r="U28" i="1"/>
  <c r="V28" i="1"/>
  <c r="M29" i="1"/>
  <c r="N29" i="1"/>
  <c r="O29" i="1"/>
  <c r="AE29" i="1" s="1"/>
  <c r="P29" i="1"/>
  <c r="Q29" i="1"/>
  <c r="R29" i="1"/>
  <c r="S29" i="1"/>
  <c r="T29" i="1"/>
  <c r="U29" i="1"/>
  <c r="V29" i="1"/>
  <c r="M30" i="1"/>
  <c r="N30" i="1"/>
  <c r="O30" i="1"/>
  <c r="AE30" i="1" s="1"/>
  <c r="P30" i="1"/>
  <c r="AF30" i="1" s="1"/>
  <c r="Q30" i="1"/>
  <c r="AG30" i="1" s="1"/>
  <c r="R30" i="1"/>
  <c r="S30" i="1"/>
  <c r="T30" i="1"/>
  <c r="U30" i="1"/>
  <c r="V30" i="1"/>
  <c r="M31" i="1"/>
  <c r="N31" i="1"/>
  <c r="O31" i="1"/>
  <c r="P31" i="1"/>
  <c r="Q31" i="1"/>
  <c r="AG31" i="1" s="1"/>
  <c r="R31" i="1"/>
  <c r="AH31" i="1" s="1"/>
  <c r="S31" i="1"/>
  <c r="AI31" i="1" s="1"/>
  <c r="T31" i="1"/>
  <c r="U31" i="1"/>
  <c r="V31" i="1"/>
  <c r="M32" i="1"/>
  <c r="N32" i="1"/>
  <c r="O32" i="1"/>
  <c r="AE32" i="1" s="1"/>
  <c r="P32" i="1"/>
  <c r="AF32" i="1" s="1"/>
  <c r="Q32" i="1"/>
  <c r="AG32" i="1" s="1"/>
  <c r="R32" i="1"/>
  <c r="AH32" i="1" s="1"/>
  <c r="S32" i="1"/>
  <c r="AI32" i="1" s="1"/>
  <c r="T32" i="1"/>
  <c r="U32" i="1"/>
  <c r="V32" i="1"/>
  <c r="M33" i="1"/>
  <c r="N33" i="1"/>
  <c r="O33" i="1"/>
  <c r="AE33" i="1" s="1"/>
  <c r="P33" i="1"/>
  <c r="AF33" i="1" s="1"/>
  <c r="Q33" i="1"/>
  <c r="R33" i="1"/>
  <c r="S33" i="1"/>
  <c r="T33" i="1"/>
  <c r="U33" i="1"/>
  <c r="V33" i="1"/>
  <c r="M34" i="1"/>
  <c r="N34" i="1"/>
  <c r="O34" i="1"/>
  <c r="AE34" i="1" s="1"/>
  <c r="P34" i="1"/>
  <c r="AF34" i="1" s="1"/>
  <c r="Q34" i="1"/>
  <c r="AG34" i="1" s="1"/>
  <c r="R34" i="1"/>
  <c r="AH34" i="1" s="1"/>
  <c r="S34" i="1"/>
  <c r="AI34" i="1" s="1"/>
  <c r="T34" i="1"/>
  <c r="U34" i="1"/>
  <c r="V34" i="1"/>
  <c r="M35" i="1"/>
  <c r="N35" i="1"/>
  <c r="O35" i="1"/>
  <c r="P35" i="1"/>
  <c r="Q35" i="1"/>
  <c r="R35" i="1"/>
  <c r="S35" i="1"/>
  <c r="AI35" i="1" s="1"/>
  <c r="T35" i="1"/>
  <c r="U35" i="1"/>
  <c r="V35" i="1"/>
  <c r="N3" i="1"/>
  <c r="O3" i="1"/>
  <c r="AE3" i="1" s="1"/>
  <c r="P3" i="1"/>
  <c r="AF3" i="1" s="1"/>
  <c r="Q3" i="1"/>
  <c r="AG3" i="1" s="1"/>
  <c r="R3" i="1"/>
  <c r="AH3" i="1" s="1"/>
  <c r="S3" i="1"/>
  <c r="AI3" i="1" s="1"/>
  <c r="T3" i="1"/>
  <c r="U3" i="1"/>
  <c r="V3" i="1"/>
  <c r="M3" i="1"/>
  <c r="AD32" i="1" l="1"/>
  <c r="AD10" i="1"/>
  <c r="AD33" i="1"/>
  <c r="AD11" i="1"/>
  <c r="AJ21" i="1"/>
  <c r="AD4" i="1"/>
  <c r="AJ34" i="1"/>
  <c r="AJ32" i="1"/>
  <c r="AJ14" i="1"/>
  <c r="AJ25" i="1"/>
  <c r="AJ12" i="1"/>
  <c r="AJ10" i="1"/>
  <c r="AD26" i="1"/>
  <c r="AD21" i="1"/>
  <c r="AD14" i="1"/>
  <c r="AD20" i="1"/>
  <c r="AD24" i="1"/>
  <c r="AJ29" i="1"/>
  <c r="AD34" i="1"/>
  <c r="AD23" i="1"/>
  <c r="AD12" i="1"/>
  <c r="AJ9" i="1"/>
  <c r="AD25" i="1"/>
  <c r="AJ15" i="1"/>
  <c r="AJ30" i="1"/>
  <c r="AD22" i="1"/>
  <c r="AJ8" i="1"/>
  <c r="AJ22" i="1"/>
  <c r="AD16" i="1"/>
  <c r="AD5" i="1"/>
  <c r="AJ31" i="1"/>
  <c r="AJ33" i="1"/>
  <c r="AJ13" i="1"/>
  <c r="AD29" i="1"/>
  <c r="AJ35" i="1"/>
  <c r="AD7" i="1"/>
  <c r="AJ24" i="1"/>
  <c r="AJ28" i="1"/>
  <c r="AD19" i="1"/>
  <c r="AJ27" i="1"/>
  <c r="AJ16" i="1"/>
  <c r="AJ5" i="1"/>
  <c r="AD18" i="1"/>
  <c r="AD13" i="1"/>
  <c r="AD15" i="1"/>
  <c r="AD28" i="1"/>
  <c r="AD30" i="1"/>
  <c r="AJ20" i="1"/>
  <c r="AJ11" i="1"/>
  <c r="AD27" i="1"/>
  <c r="AJ26" i="1"/>
  <c r="AJ4" i="1"/>
  <c r="AD31" i="1"/>
  <c r="AD9" i="1"/>
  <c r="AJ17" i="1"/>
  <c r="AJ6" i="1"/>
  <c r="AJ19" i="1"/>
  <c r="AD35" i="1"/>
  <c r="AJ23" i="1"/>
  <c r="AD17" i="1"/>
  <c r="AD6" i="1"/>
  <c r="AD8" i="1"/>
  <c r="AJ18" i="1"/>
  <c r="AJ7" i="1"/>
</calcChain>
</file>

<file path=xl/sharedStrings.xml><?xml version="1.0" encoding="utf-8"?>
<sst xmlns="http://schemas.openxmlformats.org/spreadsheetml/2006/main" count="42" uniqueCount="18">
  <si>
    <t>Total</t>
  </si>
  <si>
    <t>&lt;15</t>
  </si>
  <si>
    <t>15-19</t>
  </si>
  <si>
    <t>20-24</t>
  </si>
  <si>
    <t>25-29</t>
  </si>
  <si>
    <t>30-34</t>
  </si>
  <si>
    <t>35-39</t>
  </si>
  <si>
    <t>40-44</t>
  </si>
  <si>
    <t>45-49</t>
  </si>
  <si>
    <t>50&gt;</t>
  </si>
  <si>
    <t>NA</t>
  </si>
  <si>
    <r>
      <t>2023</t>
    </r>
    <r>
      <rPr>
        <vertAlign val="superscript"/>
        <sz val="10"/>
        <color theme="1"/>
        <rFont val="Aptos Narrow"/>
        <family val="2"/>
      </rPr>
      <t>(p)</t>
    </r>
  </si>
  <si>
    <r>
      <rPr>
        <sz val="10"/>
        <color rgb="FF000000"/>
        <rFont val="Aptos Narrow"/>
      </rPr>
      <t>2024</t>
    </r>
    <r>
      <rPr>
        <vertAlign val="superscript"/>
        <sz val="10"/>
        <color rgb="FF000000"/>
        <rFont val="Aptos Narrow"/>
      </rPr>
      <t>(p)</t>
    </r>
  </si>
  <si>
    <t>Year</t>
  </si>
  <si>
    <t>Numer of Births by age</t>
  </si>
  <si>
    <t>Percentage of Births by age</t>
  </si>
  <si>
    <t>Percentage of Births by age (adjusted)</t>
  </si>
  <si>
    <t>Numer of Births by age (adjusted)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</si>
</sst>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</font>
    <font>
      <sz val="10"/>
      <color rgb="FF000000"/>
      <name val="Aptos Narrow"/>
      <family val="2"/>
    </font>
    <font>
      <vertAlign val="superscript"/>
      <sz val="10"/>
      <color theme="1"/>
      <name val="Aptos Narrow"/>
      <family val="2"/>
    </font>
    <font>
      <sz val="10"/>
      <color rgb="FF000000"/>
      <name val="Aptos Narrow"/>
    </font>
    <font>
      <vertAlign val="superscript"/>
      <sz val="10"/>
      <color rgb="FF000000"/>
      <name val="Aptos Narro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3" xfId="0" applyBorder="1"/>
    <xf numFmtId="3" fontId="0" fillId="0" borderId="4" xfId="0" applyNumberFormat="1" applyBorder="1"/>
    <xf numFmtId="0" fontId="0" fillId="0" borderId="3" xfId="0" applyBorder="1" applyAlignment="1">
      <alignment horizontal="right"/>
    </xf>
    <xf numFmtId="0" fontId="6" fillId="0" borderId="5" xfId="0" applyFont="1" applyBorder="1" applyAlignment="1">
      <alignment horizontal="right"/>
    </xf>
    <xf numFmtId="3" fontId="0" fillId="0" borderId="6" xfId="0" applyNumberFormat="1" applyBorder="1"/>
    <xf numFmtId="3" fontId="4" fillId="0" borderId="3" xfId="0" applyNumberFormat="1" applyFont="1" applyBorder="1"/>
    <xf numFmtId="3" fontId="4" fillId="0" borderId="0" xfId="0" applyNumberFormat="1" applyFont="1"/>
    <xf numFmtId="3" fontId="4" fillId="0" borderId="4" xfId="0" applyNumberFormat="1" applyFont="1" applyBorder="1"/>
    <xf numFmtId="3" fontId="4" fillId="0" borderId="5" xfId="0" applyNumberFormat="1" applyFont="1" applyBorder="1"/>
    <xf numFmtId="3" fontId="4" fillId="0" borderId="8" xfId="0" applyNumberFormat="1" applyFont="1" applyBorder="1"/>
    <xf numFmtId="3" fontId="4" fillId="0" borderId="6" xfId="0" applyNumberFormat="1" applyFont="1" applyBorder="1"/>
    <xf numFmtId="164" fontId="0" fillId="0" borderId="0" xfId="1" applyNumberFormat="1" applyFont="1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8" xfId="1" applyNumberFormat="1" applyFont="1" applyBorder="1"/>
    <xf numFmtId="164" fontId="0" fillId="0" borderId="6" xfId="1" applyNumberFormat="1" applyFont="1" applyBorder="1"/>
    <xf numFmtId="164" fontId="0" fillId="0" borderId="3" xfId="0" applyNumberFormat="1" applyBorder="1"/>
    <xf numFmtId="164" fontId="0" fillId="0" borderId="4" xfId="0" applyNumberFormat="1" applyBorder="1"/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7" xfId="0" applyNumberFormat="1" applyBorder="1"/>
    <xf numFmtId="164" fontId="0" fillId="0" borderId="2" xfId="0" applyNumberForma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3" fontId="4" fillId="0" borderId="1" xfId="0" applyNumberFormat="1" applyFont="1" applyBorder="1"/>
    <xf numFmtId="3" fontId="4" fillId="0" borderId="7" xfId="0" applyNumberFormat="1" applyFont="1" applyBorder="1"/>
    <xf numFmtId="3" fontId="4" fillId="0" borderId="2" xfId="0" applyNumberFormat="1" applyFont="1" applyBorder="1"/>
    <xf numFmtId="3" fontId="4" fillId="0" borderId="0" xfId="0" applyNumberFormat="1" applyFont="1" applyBorder="1"/>
    <xf numFmtId="164" fontId="0" fillId="0" borderId="0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B873-EF2F-40A5-9C43-93A97B1E045D}">
  <dimension ref="A1:AJ35"/>
  <sheetViews>
    <sheetView tabSelected="1" topLeftCell="Q1" workbookViewId="0">
      <selection activeCell="AJ35" sqref="AD3:AJ35"/>
    </sheetView>
  </sheetViews>
  <sheetFormatPr defaultRowHeight="14.25" x14ac:dyDescent="0.45"/>
  <cols>
    <col min="13" max="21" width="9.06640625" customWidth="1"/>
    <col min="22" max="22" width="7.9296875" customWidth="1"/>
  </cols>
  <sheetData>
    <row r="1" spans="1:36" ht="14.65" thickBot="1" x14ac:dyDescent="0.5">
      <c r="A1" s="30"/>
      <c r="B1" s="31"/>
      <c r="C1" s="27" t="s">
        <v>14</v>
      </c>
      <c r="D1" s="28"/>
      <c r="E1" s="28"/>
      <c r="F1" s="28"/>
      <c r="G1" s="28"/>
      <c r="H1" s="28"/>
      <c r="I1" s="28"/>
      <c r="J1" s="28"/>
      <c r="K1" s="28"/>
      <c r="L1" s="29"/>
      <c r="M1" s="27" t="s">
        <v>15</v>
      </c>
      <c r="N1" s="28"/>
      <c r="O1" s="28"/>
      <c r="P1" s="28"/>
      <c r="Q1" s="28"/>
      <c r="R1" s="28"/>
      <c r="S1" s="28"/>
      <c r="T1" s="28"/>
      <c r="U1" s="28"/>
      <c r="V1" s="29"/>
      <c r="W1" s="27" t="s">
        <v>17</v>
      </c>
      <c r="X1" s="28"/>
      <c r="Y1" s="28"/>
      <c r="Z1" s="28"/>
      <c r="AA1" s="28"/>
      <c r="AB1" s="28"/>
      <c r="AC1" s="28"/>
      <c r="AD1" s="27" t="s">
        <v>16</v>
      </c>
      <c r="AE1" s="28"/>
      <c r="AF1" s="28"/>
      <c r="AG1" s="28"/>
      <c r="AH1" s="28"/>
      <c r="AI1" s="28"/>
      <c r="AJ1" s="29"/>
    </row>
    <row r="2" spans="1:36" ht="14.65" thickBot="1" x14ac:dyDescent="0.5">
      <c r="A2" s="20" t="s">
        <v>13</v>
      </c>
      <c r="B2" s="21" t="s">
        <v>0</v>
      </c>
      <c r="C2" s="22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1" t="s">
        <v>10</v>
      </c>
      <c r="M2" s="22" t="s">
        <v>1</v>
      </c>
      <c r="N2" s="23" t="s">
        <v>2</v>
      </c>
      <c r="O2" s="23" t="s">
        <v>3</v>
      </c>
      <c r="P2" s="23" t="s">
        <v>4</v>
      </c>
      <c r="Q2" s="23" t="s">
        <v>5</v>
      </c>
      <c r="R2" s="23" t="s">
        <v>6</v>
      </c>
      <c r="S2" s="23" t="s">
        <v>7</v>
      </c>
      <c r="T2" s="23" t="s">
        <v>8</v>
      </c>
      <c r="U2" s="23" t="s">
        <v>9</v>
      </c>
      <c r="V2" s="21" t="s">
        <v>10</v>
      </c>
      <c r="W2" s="22" t="s">
        <v>2</v>
      </c>
      <c r="X2" s="23" t="s">
        <v>3</v>
      </c>
      <c r="Y2" s="23" t="s">
        <v>4</v>
      </c>
      <c r="Z2" s="23" t="s">
        <v>5</v>
      </c>
      <c r="AA2" s="23" t="s">
        <v>6</v>
      </c>
      <c r="AB2" s="23" t="s">
        <v>7</v>
      </c>
      <c r="AC2" s="21" t="s">
        <v>8</v>
      </c>
      <c r="AD2" s="22" t="s">
        <v>2</v>
      </c>
      <c r="AE2" s="23" t="s">
        <v>3</v>
      </c>
      <c r="AF2" s="23" t="s">
        <v>4</v>
      </c>
      <c r="AG2" s="23" t="s">
        <v>5</v>
      </c>
      <c r="AH2" s="23" t="s">
        <v>6</v>
      </c>
      <c r="AI2" s="23" t="s">
        <v>7</v>
      </c>
      <c r="AJ2" s="21" t="s">
        <v>8</v>
      </c>
    </row>
    <row r="3" spans="1:36" x14ac:dyDescent="0.45">
      <c r="A3" s="1">
        <v>1992</v>
      </c>
      <c r="B3" s="2">
        <v>279098</v>
      </c>
      <c r="C3" s="6">
        <v>791</v>
      </c>
      <c r="D3" s="7">
        <v>37692</v>
      </c>
      <c r="E3" s="7">
        <v>76393</v>
      </c>
      <c r="F3" s="7">
        <v>78859</v>
      </c>
      <c r="G3" s="7">
        <v>54114</v>
      </c>
      <c r="H3" s="7">
        <v>25171</v>
      </c>
      <c r="I3" s="7">
        <v>5686</v>
      </c>
      <c r="J3" s="7">
        <v>344</v>
      </c>
      <c r="K3" s="7">
        <v>48</v>
      </c>
      <c r="L3" s="8">
        <v>0</v>
      </c>
      <c r="M3" s="13">
        <f>(C3/$B3)*100</f>
        <v>0.28341299471870096</v>
      </c>
      <c r="N3" s="12">
        <f t="shared" ref="N3:V3" si="0">(D3/$B3)*100</f>
        <v>13.504933750868869</v>
      </c>
      <c r="O3" s="12">
        <f t="shared" si="0"/>
        <v>27.371389261119749</v>
      </c>
      <c r="P3" s="12">
        <f t="shared" si="0"/>
        <v>28.254949874237724</v>
      </c>
      <c r="Q3" s="12">
        <f t="shared" si="0"/>
        <v>19.388888490781017</v>
      </c>
      <c r="R3" s="12">
        <f t="shared" si="0"/>
        <v>9.0186959419272092</v>
      </c>
      <c r="S3" s="12">
        <f t="shared" si="0"/>
        <v>2.0372772287870209</v>
      </c>
      <c r="T3" s="12">
        <f t="shared" si="0"/>
        <v>0.12325419745035794</v>
      </c>
      <c r="U3" s="12">
        <f t="shared" si="0"/>
        <v>1.719826010935227E-2</v>
      </c>
      <c r="V3" s="14">
        <f t="shared" si="0"/>
        <v>0</v>
      </c>
      <c r="W3" s="32">
        <f>C3+D3</f>
        <v>38483</v>
      </c>
      <c r="X3" s="33">
        <f>E3</f>
        <v>76393</v>
      </c>
      <c r="Y3" s="33">
        <f t="shared" ref="Y3:AB18" si="1">F3</f>
        <v>78859</v>
      </c>
      <c r="Z3" s="33">
        <f t="shared" si="1"/>
        <v>54114</v>
      </c>
      <c r="AA3" s="33">
        <f t="shared" si="1"/>
        <v>25171</v>
      </c>
      <c r="AB3" s="33">
        <f t="shared" si="1"/>
        <v>5686</v>
      </c>
      <c r="AC3" s="34">
        <f>J3+K3</f>
        <v>392</v>
      </c>
      <c r="AD3" s="24">
        <f>M3+N3</f>
        <v>13.788346745587569</v>
      </c>
      <c r="AE3" s="25">
        <f>O3</f>
        <v>27.371389261119749</v>
      </c>
      <c r="AF3" s="25">
        <f t="shared" ref="AF3:AI4" si="2">P3</f>
        <v>28.254949874237724</v>
      </c>
      <c r="AG3" s="25">
        <f t="shared" si="2"/>
        <v>19.388888490781017</v>
      </c>
      <c r="AH3" s="25">
        <f t="shared" si="2"/>
        <v>9.0186959419272092</v>
      </c>
      <c r="AI3" s="25">
        <f t="shared" si="2"/>
        <v>2.0372772287870209</v>
      </c>
      <c r="AJ3" s="26">
        <f>T3+U3</f>
        <v>0.1404524575597102</v>
      </c>
    </row>
    <row r="4" spans="1:36" x14ac:dyDescent="0.45">
      <c r="A4" s="1">
        <v>1993</v>
      </c>
      <c r="B4" s="2">
        <v>275916</v>
      </c>
      <c r="C4" s="6">
        <v>863</v>
      </c>
      <c r="D4" s="7">
        <v>37563</v>
      </c>
      <c r="E4" s="7">
        <v>74775</v>
      </c>
      <c r="F4" s="7">
        <v>76104</v>
      </c>
      <c r="G4" s="7">
        <v>54699</v>
      </c>
      <c r="H4" s="7">
        <v>25491</v>
      </c>
      <c r="I4" s="7">
        <v>6019</v>
      </c>
      <c r="J4" s="7">
        <v>358</v>
      </c>
      <c r="K4" s="7">
        <v>44</v>
      </c>
      <c r="L4" s="8">
        <v>0</v>
      </c>
      <c r="M4" s="13">
        <f t="shared" ref="M4:M35" si="3">(C4/$B4)*100</f>
        <v>0.31277635222314037</v>
      </c>
      <c r="N4" s="12">
        <f t="shared" ref="N4:N35" si="4">(D4/$B4)*100</f>
        <v>13.613925977471405</v>
      </c>
      <c r="O4" s="12">
        <f t="shared" ref="O4:O35" si="5">(E4/$B4)*100</f>
        <v>27.100639325011961</v>
      </c>
      <c r="P4" s="12">
        <f t="shared" ref="P4:P35" si="6">(F4/$B4)*100</f>
        <v>27.582307658852695</v>
      </c>
      <c r="Q4" s="12">
        <f t="shared" ref="Q4:Q35" si="7">(G4/$B4)*100</f>
        <v>19.824511807941548</v>
      </c>
      <c r="R4" s="12">
        <f t="shared" ref="R4:R35" si="8">(H4/$B4)*100</f>
        <v>9.2386813377984609</v>
      </c>
      <c r="S4" s="12">
        <f t="shared" ref="S4:S35" si="9">(I4/$B4)*100</f>
        <v>2.1814610243697357</v>
      </c>
      <c r="T4" s="12">
        <f t="shared" ref="T4:T35" si="10">(J4/$B4)*100</f>
        <v>0.12974963394656344</v>
      </c>
      <c r="U4" s="12">
        <f t="shared" ref="U4:U35" si="11">(K4/$B4)*100</f>
        <v>1.5946882384493832E-2</v>
      </c>
      <c r="V4" s="14">
        <f t="shared" ref="V4:V35" si="12">(L4/$B4)*100</f>
        <v>0</v>
      </c>
      <c r="W4" s="6">
        <f t="shared" ref="W4:W35" si="13">C4+D4</f>
        <v>38426</v>
      </c>
      <c r="X4" s="35">
        <f t="shared" ref="X4:X35" si="14">E4</f>
        <v>74775</v>
      </c>
      <c r="Y4" s="35">
        <f t="shared" si="1"/>
        <v>76104</v>
      </c>
      <c r="Z4" s="35">
        <f t="shared" si="1"/>
        <v>54699</v>
      </c>
      <c r="AA4" s="35">
        <f t="shared" si="1"/>
        <v>25491</v>
      </c>
      <c r="AB4" s="35">
        <f t="shared" si="1"/>
        <v>6019</v>
      </c>
      <c r="AC4" s="8">
        <f t="shared" ref="AC4:AC35" si="15">J4+K4</f>
        <v>402</v>
      </c>
      <c r="AD4" s="18">
        <f t="shared" ref="AD4:AD35" si="16">M4+N4</f>
        <v>13.926702329694546</v>
      </c>
      <c r="AE4" s="36">
        <f t="shared" ref="AE4" si="17">O4</f>
        <v>27.100639325011961</v>
      </c>
      <c r="AF4" s="36">
        <f t="shared" si="2"/>
        <v>27.582307658852695</v>
      </c>
      <c r="AG4" s="36">
        <f t="shared" si="2"/>
        <v>19.824511807941548</v>
      </c>
      <c r="AH4" s="36">
        <f t="shared" si="2"/>
        <v>9.2386813377984609</v>
      </c>
      <c r="AI4" s="36">
        <f t="shared" si="2"/>
        <v>2.1814610243697357</v>
      </c>
      <c r="AJ4" s="19">
        <f t="shared" ref="AJ4:AJ35" si="18">T4+U4</f>
        <v>0.14569651633105726</v>
      </c>
    </row>
    <row r="5" spans="1:36" x14ac:dyDescent="0.45">
      <c r="A5" s="1">
        <v>1994</v>
      </c>
      <c r="B5" s="2">
        <v>273766</v>
      </c>
      <c r="C5" s="6">
        <v>879</v>
      </c>
      <c r="D5" s="7">
        <v>37969</v>
      </c>
      <c r="E5" s="7">
        <v>74451</v>
      </c>
      <c r="F5" s="7">
        <v>73530</v>
      </c>
      <c r="G5" s="7">
        <v>54759</v>
      </c>
      <c r="H5" s="7">
        <v>25880</v>
      </c>
      <c r="I5" s="7">
        <v>5977</v>
      </c>
      <c r="J5" s="7">
        <v>319</v>
      </c>
      <c r="K5" s="7">
        <v>2</v>
      </c>
      <c r="L5" s="8">
        <v>0</v>
      </c>
      <c r="M5" s="13">
        <f t="shared" si="3"/>
        <v>0.32107712425940405</v>
      </c>
      <c r="N5" s="12">
        <f t="shared" si="4"/>
        <v>13.869143721280217</v>
      </c>
      <c r="O5" s="12">
        <f t="shared" si="5"/>
        <v>27.195122842135255</v>
      </c>
      <c r="P5" s="12">
        <f t="shared" si="6"/>
        <v>26.858704148798608</v>
      </c>
      <c r="Q5" s="12">
        <f t="shared" si="7"/>
        <v>20.002118597634478</v>
      </c>
      <c r="R5" s="12">
        <f t="shared" si="8"/>
        <v>9.4533287552143079</v>
      </c>
      <c r="S5" s="12">
        <f t="shared" si="9"/>
        <v>2.183251389873103</v>
      </c>
      <c r="T5" s="12">
        <f t="shared" si="10"/>
        <v>0.11652286989618872</v>
      </c>
      <c r="U5" s="12">
        <f t="shared" si="11"/>
        <v>7.3055090844005468E-4</v>
      </c>
      <c r="V5" s="14">
        <f t="shared" si="12"/>
        <v>0</v>
      </c>
      <c r="W5" s="6">
        <f t="shared" si="13"/>
        <v>38848</v>
      </c>
      <c r="X5" s="35">
        <f t="shared" si="14"/>
        <v>74451</v>
      </c>
      <c r="Y5" s="35">
        <f t="shared" si="1"/>
        <v>73530</v>
      </c>
      <c r="Z5" s="35">
        <f t="shared" si="1"/>
        <v>54759</v>
      </c>
      <c r="AA5" s="35">
        <f t="shared" si="1"/>
        <v>25880</v>
      </c>
      <c r="AB5" s="35">
        <f t="shared" si="1"/>
        <v>5977</v>
      </c>
      <c r="AC5" s="8">
        <f t="shared" si="15"/>
        <v>321</v>
      </c>
      <c r="AD5" s="18">
        <f t="shared" si="16"/>
        <v>14.190220845539621</v>
      </c>
      <c r="AE5" s="36">
        <f t="shared" ref="AE5:AE35" si="19">O5</f>
        <v>27.195122842135255</v>
      </c>
      <c r="AF5" s="36">
        <f t="shared" ref="AF5:AF35" si="20">P5</f>
        <v>26.858704148798608</v>
      </c>
      <c r="AG5" s="36">
        <f t="shared" ref="AG5:AG35" si="21">Q5</f>
        <v>20.002118597634478</v>
      </c>
      <c r="AH5" s="36">
        <f t="shared" ref="AH5:AH35" si="22">R5</f>
        <v>9.4533287552143079</v>
      </c>
      <c r="AI5" s="36">
        <f t="shared" ref="AI5:AI35" si="23">S5</f>
        <v>2.183251389873103</v>
      </c>
      <c r="AJ5" s="19">
        <f t="shared" si="18"/>
        <v>0.11725342080462878</v>
      </c>
    </row>
    <row r="6" spans="1:36" x14ac:dyDescent="0.45">
      <c r="A6" s="1">
        <v>1995</v>
      </c>
      <c r="B6" s="2">
        <v>265932</v>
      </c>
      <c r="C6" s="6">
        <v>1033</v>
      </c>
      <c r="D6" s="7">
        <v>37852</v>
      </c>
      <c r="E6" s="7">
        <v>71651</v>
      </c>
      <c r="F6" s="7">
        <v>69073</v>
      </c>
      <c r="G6" s="7">
        <v>53608</v>
      </c>
      <c r="H6" s="7">
        <v>26221</v>
      </c>
      <c r="I6" s="7">
        <v>6187</v>
      </c>
      <c r="J6" s="7">
        <v>302</v>
      </c>
      <c r="K6" s="7">
        <v>5</v>
      </c>
      <c r="L6" s="8">
        <v>0</v>
      </c>
      <c r="M6" s="13">
        <f t="shared" si="3"/>
        <v>0.38844516643352434</v>
      </c>
      <c r="N6" s="12">
        <f t="shared" si="4"/>
        <v>14.233713881744206</v>
      </c>
      <c r="O6" s="12">
        <f t="shared" si="5"/>
        <v>26.943353940104991</v>
      </c>
      <c r="P6" s="12">
        <f t="shared" si="6"/>
        <v>25.97393318592723</v>
      </c>
      <c r="Q6" s="12">
        <f t="shared" si="7"/>
        <v>20.158536768798037</v>
      </c>
      <c r="R6" s="12">
        <f t="shared" si="8"/>
        <v>9.8600394085706125</v>
      </c>
      <c r="S6" s="12">
        <f t="shared" si="9"/>
        <v>2.3265346028307987</v>
      </c>
      <c r="T6" s="12">
        <f t="shared" si="10"/>
        <v>0.11356286569498969</v>
      </c>
      <c r="U6" s="12">
        <f t="shared" si="11"/>
        <v>1.8801798956124122E-3</v>
      </c>
      <c r="V6" s="14">
        <f t="shared" si="12"/>
        <v>0</v>
      </c>
      <c r="W6" s="6">
        <f t="shared" si="13"/>
        <v>38885</v>
      </c>
      <c r="X6" s="35">
        <f t="shared" si="14"/>
        <v>71651</v>
      </c>
      <c r="Y6" s="35">
        <f t="shared" si="1"/>
        <v>69073</v>
      </c>
      <c r="Z6" s="35">
        <f t="shared" si="1"/>
        <v>53608</v>
      </c>
      <c r="AA6" s="35">
        <f t="shared" si="1"/>
        <v>26221</v>
      </c>
      <c r="AB6" s="35">
        <f t="shared" si="1"/>
        <v>6187</v>
      </c>
      <c r="AC6" s="8">
        <f t="shared" si="15"/>
        <v>307</v>
      </c>
      <c r="AD6" s="18">
        <f t="shared" si="16"/>
        <v>14.62215904817773</v>
      </c>
      <c r="AE6" s="36">
        <f t="shared" si="19"/>
        <v>26.943353940104991</v>
      </c>
      <c r="AF6" s="36">
        <f t="shared" si="20"/>
        <v>25.97393318592723</v>
      </c>
      <c r="AG6" s="36">
        <f t="shared" si="21"/>
        <v>20.158536768798037</v>
      </c>
      <c r="AH6" s="36">
        <f t="shared" si="22"/>
        <v>9.8600394085706125</v>
      </c>
      <c r="AI6" s="36">
        <f t="shared" si="23"/>
        <v>2.3265346028307987</v>
      </c>
      <c r="AJ6" s="19">
        <f t="shared" si="18"/>
        <v>0.1154430455906021</v>
      </c>
    </row>
    <row r="7" spans="1:36" x14ac:dyDescent="0.45">
      <c r="A7" s="1">
        <v>1996</v>
      </c>
      <c r="B7" s="2">
        <v>264793</v>
      </c>
      <c r="C7" s="6">
        <v>1126</v>
      </c>
      <c r="D7" s="7">
        <v>38575</v>
      </c>
      <c r="E7" s="7">
        <v>69941</v>
      </c>
      <c r="F7" s="7">
        <v>67582</v>
      </c>
      <c r="G7" s="7">
        <v>53732</v>
      </c>
      <c r="H7" s="7">
        <v>27247</v>
      </c>
      <c r="I7" s="7">
        <v>6290</v>
      </c>
      <c r="J7" s="7">
        <v>292</v>
      </c>
      <c r="K7" s="7">
        <v>8</v>
      </c>
      <c r="L7" s="8">
        <v>0</v>
      </c>
      <c r="M7" s="13">
        <f t="shared" si="3"/>
        <v>0.42523782728395387</v>
      </c>
      <c r="N7" s="12">
        <f t="shared" si="4"/>
        <v>14.567983292609698</v>
      </c>
      <c r="O7" s="12">
        <f t="shared" si="5"/>
        <v>26.413462591533765</v>
      </c>
      <c r="P7" s="12">
        <f t="shared" si="6"/>
        <v>25.522578013769248</v>
      </c>
      <c r="Q7" s="12">
        <f t="shared" si="7"/>
        <v>20.29207720747905</v>
      </c>
      <c r="R7" s="12">
        <f t="shared" si="8"/>
        <v>10.289924582598482</v>
      </c>
      <c r="S7" s="12">
        <f t="shared" si="9"/>
        <v>2.3754404383801688</v>
      </c>
      <c r="T7" s="12">
        <f t="shared" si="10"/>
        <v>0.11027481844308573</v>
      </c>
      <c r="U7" s="12">
        <f t="shared" si="11"/>
        <v>3.0212279025502941E-3</v>
      </c>
      <c r="V7" s="14">
        <f t="shared" si="12"/>
        <v>0</v>
      </c>
      <c r="W7" s="6">
        <f t="shared" si="13"/>
        <v>39701</v>
      </c>
      <c r="X7" s="35">
        <f t="shared" si="14"/>
        <v>69941</v>
      </c>
      <c r="Y7" s="35">
        <f t="shared" si="1"/>
        <v>67582</v>
      </c>
      <c r="Z7" s="35">
        <f t="shared" si="1"/>
        <v>53732</v>
      </c>
      <c r="AA7" s="35">
        <f t="shared" si="1"/>
        <v>27247</v>
      </c>
      <c r="AB7" s="35">
        <f t="shared" si="1"/>
        <v>6290</v>
      </c>
      <c r="AC7" s="8">
        <f t="shared" si="15"/>
        <v>300</v>
      </c>
      <c r="AD7" s="18">
        <f t="shared" si="16"/>
        <v>14.993221119893652</v>
      </c>
      <c r="AE7" s="36">
        <f t="shared" si="19"/>
        <v>26.413462591533765</v>
      </c>
      <c r="AF7" s="36">
        <f t="shared" si="20"/>
        <v>25.522578013769248</v>
      </c>
      <c r="AG7" s="36">
        <f t="shared" si="21"/>
        <v>20.29207720747905</v>
      </c>
      <c r="AH7" s="36">
        <f t="shared" si="22"/>
        <v>10.289924582598482</v>
      </c>
      <c r="AI7" s="36">
        <f t="shared" si="23"/>
        <v>2.3754404383801688</v>
      </c>
      <c r="AJ7" s="19">
        <f t="shared" si="18"/>
        <v>0.11329604634563603</v>
      </c>
    </row>
    <row r="8" spans="1:36" x14ac:dyDescent="0.45">
      <c r="A8" s="1">
        <v>1997</v>
      </c>
      <c r="B8" s="2">
        <v>259959</v>
      </c>
      <c r="C8" s="6">
        <v>1183</v>
      </c>
      <c r="D8" s="7">
        <v>39551</v>
      </c>
      <c r="E8" s="7">
        <v>66326</v>
      </c>
      <c r="F8" s="7">
        <v>65904</v>
      </c>
      <c r="G8" s="7">
        <v>52485</v>
      </c>
      <c r="H8" s="7">
        <v>27773</v>
      </c>
      <c r="I8" s="7">
        <v>6411</v>
      </c>
      <c r="J8" s="7">
        <v>318</v>
      </c>
      <c r="K8" s="7">
        <v>8</v>
      </c>
      <c r="L8" s="8">
        <v>0</v>
      </c>
      <c r="M8" s="13">
        <f t="shared" si="3"/>
        <v>0.45507176131620758</v>
      </c>
      <c r="N8" s="12">
        <f t="shared" si="4"/>
        <v>15.214322258509997</v>
      </c>
      <c r="O8" s="12">
        <f t="shared" si="5"/>
        <v>25.514023365222975</v>
      </c>
      <c r="P8" s="12">
        <f t="shared" si="6"/>
        <v>25.351690074204008</v>
      </c>
      <c r="Q8" s="12">
        <f t="shared" si="7"/>
        <v>20.189722225427857</v>
      </c>
      <c r="R8" s="12">
        <f t="shared" si="8"/>
        <v>10.68360779969149</v>
      </c>
      <c r="S8" s="12">
        <f t="shared" si="9"/>
        <v>2.4661581249350859</v>
      </c>
      <c r="T8" s="12">
        <f t="shared" si="10"/>
        <v>0.12232698233182926</v>
      </c>
      <c r="U8" s="12">
        <f t="shared" si="11"/>
        <v>3.0774083605491637E-3</v>
      </c>
      <c r="V8" s="14">
        <f t="shared" si="12"/>
        <v>0</v>
      </c>
      <c r="W8" s="6">
        <f t="shared" si="13"/>
        <v>40734</v>
      </c>
      <c r="X8" s="35">
        <f t="shared" si="14"/>
        <v>66326</v>
      </c>
      <c r="Y8" s="35">
        <f t="shared" si="1"/>
        <v>65904</v>
      </c>
      <c r="Z8" s="35">
        <f t="shared" si="1"/>
        <v>52485</v>
      </c>
      <c r="AA8" s="35">
        <f t="shared" si="1"/>
        <v>27773</v>
      </c>
      <c r="AB8" s="35">
        <f t="shared" si="1"/>
        <v>6411</v>
      </c>
      <c r="AC8" s="8">
        <f t="shared" si="15"/>
        <v>326</v>
      </c>
      <c r="AD8" s="18">
        <f t="shared" si="16"/>
        <v>15.669394019826203</v>
      </c>
      <c r="AE8" s="36">
        <f t="shared" si="19"/>
        <v>25.514023365222975</v>
      </c>
      <c r="AF8" s="36">
        <f t="shared" si="20"/>
        <v>25.351690074204008</v>
      </c>
      <c r="AG8" s="36">
        <f t="shared" si="21"/>
        <v>20.189722225427857</v>
      </c>
      <c r="AH8" s="36">
        <f t="shared" si="22"/>
        <v>10.68360779969149</v>
      </c>
      <c r="AI8" s="36">
        <f t="shared" si="23"/>
        <v>2.4661581249350859</v>
      </c>
      <c r="AJ8" s="19">
        <f t="shared" si="18"/>
        <v>0.12540439069237841</v>
      </c>
    </row>
    <row r="9" spans="1:36" x14ac:dyDescent="0.45">
      <c r="A9" s="1">
        <v>1998</v>
      </c>
      <c r="B9" s="2">
        <v>257105</v>
      </c>
      <c r="C9" s="6">
        <v>1175</v>
      </c>
      <c r="D9" s="7">
        <v>40355</v>
      </c>
      <c r="E9" s="7">
        <v>63235</v>
      </c>
      <c r="F9" s="7">
        <v>65389</v>
      </c>
      <c r="G9" s="7">
        <v>51943</v>
      </c>
      <c r="H9" s="7">
        <v>28131</v>
      </c>
      <c r="I9" s="7">
        <v>6543</v>
      </c>
      <c r="J9" s="7">
        <v>331</v>
      </c>
      <c r="K9" s="7">
        <v>3</v>
      </c>
      <c r="L9" s="8">
        <v>0</v>
      </c>
      <c r="M9" s="13">
        <f t="shared" si="3"/>
        <v>0.4570117267264347</v>
      </c>
      <c r="N9" s="12">
        <f t="shared" si="4"/>
        <v>15.695921899612999</v>
      </c>
      <c r="O9" s="12">
        <f t="shared" si="5"/>
        <v>24.595009820890297</v>
      </c>
      <c r="P9" s="12">
        <f t="shared" si="6"/>
        <v>25.432799828863693</v>
      </c>
      <c r="Q9" s="12">
        <f t="shared" si="7"/>
        <v>20.203029890511658</v>
      </c>
      <c r="R9" s="12">
        <f t="shared" si="8"/>
        <v>10.941444157056456</v>
      </c>
      <c r="S9" s="12">
        <f t="shared" si="9"/>
        <v>2.544874662103032</v>
      </c>
      <c r="T9" s="12">
        <f t="shared" si="10"/>
        <v>0.12874117578421268</v>
      </c>
      <c r="U9" s="12">
        <f t="shared" si="11"/>
        <v>1.1668384512164289E-3</v>
      </c>
      <c r="V9" s="14">
        <f t="shared" si="12"/>
        <v>0</v>
      </c>
      <c r="W9" s="6">
        <f t="shared" si="13"/>
        <v>41530</v>
      </c>
      <c r="X9" s="35">
        <f t="shared" si="14"/>
        <v>63235</v>
      </c>
      <c r="Y9" s="35">
        <f t="shared" si="1"/>
        <v>65389</v>
      </c>
      <c r="Z9" s="35">
        <f t="shared" si="1"/>
        <v>51943</v>
      </c>
      <c r="AA9" s="35">
        <f t="shared" si="1"/>
        <v>28131</v>
      </c>
      <c r="AB9" s="35">
        <f t="shared" si="1"/>
        <v>6543</v>
      </c>
      <c r="AC9" s="8">
        <f t="shared" si="15"/>
        <v>334</v>
      </c>
      <c r="AD9" s="18">
        <f t="shared" si="16"/>
        <v>16.152933626339433</v>
      </c>
      <c r="AE9" s="36">
        <f t="shared" si="19"/>
        <v>24.595009820890297</v>
      </c>
      <c r="AF9" s="36">
        <f t="shared" si="20"/>
        <v>25.432799828863693</v>
      </c>
      <c r="AG9" s="36">
        <f t="shared" si="21"/>
        <v>20.203029890511658</v>
      </c>
      <c r="AH9" s="36">
        <f t="shared" si="22"/>
        <v>10.941444157056456</v>
      </c>
      <c r="AI9" s="36">
        <f t="shared" si="23"/>
        <v>2.544874662103032</v>
      </c>
      <c r="AJ9" s="19">
        <f t="shared" si="18"/>
        <v>0.12990801423542911</v>
      </c>
    </row>
    <row r="10" spans="1:36" x14ac:dyDescent="0.45">
      <c r="A10" s="1">
        <v>1999</v>
      </c>
      <c r="B10" s="2">
        <v>250674</v>
      </c>
      <c r="C10" s="6">
        <v>1052</v>
      </c>
      <c r="D10" s="7">
        <v>39387</v>
      </c>
      <c r="E10" s="7">
        <v>59293</v>
      </c>
      <c r="F10" s="7">
        <v>64135</v>
      </c>
      <c r="G10" s="7">
        <v>51086</v>
      </c>
      <c r="H10" s="7">
        <v>28720</v>
      </c>
      <c r="I10" s="7">
        <v>6700</v>
      </c>
      <c r="J10" s="7">
        <v>298</v>
      </c>
      <c r="K10" s="7">
        <v>3</v>
      </c>
      <c r="L10" s="8">
        <v>0</v>
      </c>
      <c r="M10" s="13">
        <f t="shared" si="3"/>
        <v>0.41966857352577447</v>
      </c>
      <c r="N10" s="12">
        <f t="shared" si="4"/>
        <v>15.712439263744942</v>
      </c>
      <c r="O10" s="12">
        <f t="shared" si="5"/>
        <v>23.653430351771622</v>
      </c>
      <c r="P10" s="12">
        <f t="shared" si="6"/>
        <v>25.585022778588922</v>
      </c>
      <c r="Q10" s="12">
        <f t="shared" si="7"/>
        <v>20.379456983971213</v>
      </c>
      <c r="R10" s="12">
        <f t="shared" si="8"/>
        <v>11.457111627053465</v>
      </c>
      <c r="S10" s="12">
        <f t="shared" si="9"/>
        <v>2.6727941469797423</v>
      </c>
      <c r="T10" s="12">
        <f t="shared" si="10"/>
        <v>0.11887950086566616</v>
      </c>
      <c r="U10" s="12">
        <f t="shared" si="11"/>
        <v>1.1967734986476459E-3</v>
      </c>
      <c r="V10" s="14">
        <f t="shared" si="12"/>
        <v>0</v>
      </c>
      <c r="W10" s="6">
        <f t="shared" si="13"/>
        <v>40439</v>
      </c>
      <c r="X10" s="35">
        <f t="shared" si="14"/>
        <v>59293</v>
      </c>
      <c r="Y10" s="35">
        <f t="shared" si="1"/>
        <v>64135</v>
      </c>
      <c r="Z10" s="35">
        <f t="shared" si="1"/>
        <v>51086</v>
      </c>
      <c r="AA10" s="35">
        <f t="shared" si="1"/>
        <v>28720</v>
      </c>
      <c r="AB10" s="35">
        <f t="shared" si="1"/>
        <v>6700</v>
      </c>
      <c r="AC10" s="8">
        <f t="shared" si="15"/>
        <v>301</v>
      </c>
      <c r="AD10" s="18">
        <f t="shared" si="16"/>
        <v>16.132107837270716</v>
      </c>
      <c r="AE10" s="36">
        <f t="shared" si="19"/>
        <v>23.653430351771622</v>
      </c>
      <c r="AF10" s="36">
        <f t="shared" si="20"/>
        <v>25.585022778588922</v>
      </c>
      <c r="AG10" s="36">
        <f t="shared" si="21"/>
        <v>20.379456983971213</v>
      </c>
      <c r="AH10" s="36">
        <f t="shared" si="22"/>
        <v>11.457111627053465</v>
      </c>
      <c r="AI10" s="36">
        <f t="shared" si="23"/>
        <v>2.6727941469797423</v>
      </c>
      <c r="AJ10" s="19">
        <f t="shared" si="18"/>
        <v>0.12007627436431381</v>
      </c>
    </row>
    <row r="11" spans="1:36" x14ac:dyDescent="0.45">
      <c r="A11" s="1">
        <v>2000</v>
      </c>
      <c r="B11" s="2">
        <v>248893</v>
      </c>
      <c r="C11" s="6">
        <v>1055</v>
      </c>
      <c r="D11" s="7">
        <v>39257</v>
      </c>
      <c r="E11" s="7">
        <v>57141</v>
      </c>
      <c r="F11" s="7">
        <v>63812</v>
      </c>
      <c r="G11" s="7">
        <v>50675</v>
      </c>
      <c r="H11" s="7">
        <v>29471</v>
      </c>
      <c r="I11" s="7">
        <v>7119</v>
      </c>
      <c r="J11" s="7">
        <v>359</v>
      </c>
      <c r="K11" s="7">
        <v>4</v>
      </c>
      <c r="L11" s="8">
        <v>0</v>
      </c>
      <c r="M11" s="13">
        <f t="shared" si="3"/>
        <v>0.4238769270329017</v>
      </c>
      <c r="N11" s="12">
        <f t="shared" si="4"/>
        <v>15.772641255479261</v>
      </c>
      <c r="O11" s="12">
        <f t="shared" si="5"/>
        <v>22.958058282073019</v>
      </c>
      <c r="P11" s="12">
        <f t="shared" si="6"/>
        <v>25.63832650978533</v>
      </c>
      <c r="Q11" s="12">
        <f t="shared" si="7"/>
        <v>20.360154765300752</v>
      </c>
      <c r="R11" s="12">
        <f t="shared" si="8"/>
        <v>11.840831200556062</v>
      </c>
      <c r="S11" s="12">
        <f t="shared" si="9"/>
        <v>2.860265254547135</v>
      </c>
      <c r="T11" s="12">
        <f t="shared" si="10"/>
        <v>0.14423868891451347</v>
      </c>
      <c r="U11" s="12">
        <f t="shared" si="11"/>
        <v>1.6071163110252195E-3</v>
      </c>
      <c r="V11" s="14">
        <f t="shared" si="12"/>
        <v>0</v>
      </c>
      <c r="W11" s="6">
        <f t="shared" si="13"/>
        <v>40312</v>
      </c>
      <c r="X11" s="35">
        <f t="shared" si="14"/>
        <v>57141</v>
      </c>
      <c r="Y11" s="35">
        <f t="shared" si="1"/>
        <v>63812</v>
      </c>
      <c r="Z11" s="35">
        <f t="shared" si="1"/>
        <v>50675</v>
      </c>
      <c r="AA11" s="35">
        <f t="shared" si="1"/>
        <v>29471</v>
      </c>
      <c r="AB11" s="35">
        <f t="shared" si="1"/>
        <v>7119</v>
      </c>
      <c r="AC11" s="8">
        <f t="shared" si="15"/>
        <v>363</v>
      </c>
      <c r="AD11" s="18">
        <f t="shared" si="16"/>
        <v>16.196518182512161</v>
      </c>
      <c r="AE11" s="36">
        <f t="shared" si="19"/>
        <v>22.958058282073019</v>
      </c>
      <c r="AF11" s="36">
        <f t="shared" si="20"/>
        <v>25.63832650978533</v>
      </c>
      <c r="AG11" s="36">
        <f t="shared" si="21"/>
        <v>20.360154765300752</v>
      </c>
      <c r="AH11" s="36">
        <f t="shared" si="22"/>
        <v>11.840831200556062</v>
      </c>
      <c r="AI11" s="36">
        <f t="shared" si="23"/>
        <v>2.860265254547135</v>
      </c>
      <c r="AJ11" s="19">
        <f t="shared" si="18"/>
        <v>0.14584580522553869</v>
      </c>
    </row>
    <row r="12" spans="1:36" x14ac:dyDescent="0.45">
      <c r="A12" s="1">
        <v>2001</v>
      </c>
      <c r="B12" s="2">
        <v>246116</v>
      </c>
      <c r="C12" s="6">
        <v>1162</v>
      </c>
      <c r="D12" s="7">
        <v>38722</v>
      </c>
      <c r="E12" s="7">
        <v>55892</v>
      </c>
      <c r="F12" s="7">
        <v>61735</v>
      </c>
      <c r="G12" s="7">
        <v>50651</v>
      </c>
      <c r="H12" s="7">
        <v>30146</v>
      </c>
      <c r="I12" s="7">
        <v>7420</v>
      </c>
      <c r="J12" s="7">
        <v>371</v>
      </c>
      <c r="K12" s="7">
        <v>17</v>
      </c>
      <c r="L12" s="8">
        <v>0</v>
      </c>
      <c r="M12" s="13">
        <f t="shared" si="3"/>
        <v>0.47213509077020593</v>
      </c>
      <c r="N12" s="12">
        <f t="shared" si="4"/>
        <v>15.733231484340719</v>
      </c>
      <c r="O12" s="12">
        <f t="shared" si="5"/>
        <v>22.709616603552796</v>
      </c>
      <c r="P12" s="12">
        <f t="shared" si="6"/>
        <v>25.083700368931723</v>
      </c>
      <c r="Q12" s="12">
        <f t="shared" si="7"/>
        <v>20.580132945440361</v>
      </c>
      <c r="R12" s="12">
        <f t="shared" si="8"/>
        <v>12.248695736969559</v>
      </c>
      <c r="S12" s="12">
        <f t="shared" si="9"/>
        <v>3.0148385314242065</v>
      </c>
      <c r="T12" s="12">
        <f t="shared" si="10"/>
        <v>0.15074192657121033</v>
      </c>
      <c r="U12" s="12">
        <f t="shared" si="11"/>
        <v>6.9073119992198798E-3</v>
      </c>
      <c r="V12" s="14">
        <f t="shared" si="12"/>
        <v>0</v>
      </c>
      <c r="W12" s="6">
        <f t="shared" si="13"/>
        <v>39884</v>
      </c>
      <c r="X12" s="35">
        <f t="shared" si="14"/>
        <v>55892</v>
      </c>
      <c r="Y12" s="35">
        <f t="shared" si="1"/>
        <v>61735</v>
      </c>
      <c r="Z12" s="35">
        <f t="shared" si="1"/>
        <v>50651</v>
      </c>
      <c r="AA12" s="35">
        <f t="shared" si="1"/>
        <v>30146</v>
      </c>
      <c r="AB12" s="35">
        <f t="shared" si="1"/>
        <v>7420</v>
      </c>
      <c r="AC12" s="8">
        <f t="shared" si="15"/>
        <v>388</v>
      </c>
      <c r="AD12" s="18">
        <f t="shared" si="16"/>
        <v>16.205366575110926</v>
      </c>
      <c r="AE12" s="36">
        <f t="shared" si="19"/>
        <v>22.709616603552796</v>
      </c>
      <c r="AF12" s="36">
        <f t="shared" si="20"/>
        <v>25.083700368931723</v>
      </c>
      <c r="AG12" s="36">
        <f t="shared" si="21"/>
        <v>20.580132945440361</v>
      </c>
      <c r="AH12" s="36">
        <f t="shared" si="22"/>
        <v>12.248695736969559</v>
      </c>
      <c r="AI12" s="36">
        <f t="shared" si="23"/>
        <v>3.0148385314242065</v>
      </c>
      <c r="AJ12" s="19">
        <f t="shared" si="18"/>
        <v>0.1576492385704302</v>
      </c>
    </row>
    <row r="13" spans="1:36" x14ac:dyDescent="0.45">
      <c r="A13" s="1">
        <v>2002</v>
      </c>
      <c r="B13" s="2">
        <v>238981</v>
      </c>
      <c r="C13" s="6">
        <v>1118</v>
      </c>
      <c r="D13" s="7">
        <v>36500</v>
      </c>
      <c r="E13" s="7">
        <v>55414</v>
      </c>
      <c r="F13" s="7">
        <v>58775</v>
      </c>
      <c r="G13" s="7">
        <v>49575</v>
      </c>
      <c r="H13" s="7">
        <v>29450</v>
      </c>
      <c r="I13" s="7">
        <v>7821</v>
      </c>
      <c r="J13" s="7">
        <v>326</v>
      </c>
      <c r="K13" s="7">
        <v>2</v>
      </c>
      <c r="L13" s="8">
        <v>0</v>
      </c>
      <c r="M13" s="13">
        <f t="shared" si="3"/>
        <v>0.46781961745912859</v>
      </c>
      <c r="N13" s="12">
        <f t="shared" si="4"/>
        <v>15.273180713111085</v>
      </c>
      <c r="O13" s="12">
        <f t="shared" si="5"/>
        <v>23.187617425653084</v>
      </c>
      <c r="P13" s="12">
        <f t="shared" si="6"/>
        <v>24.594005381180931</v>
      </c>
      <c r="Q13" s="12">
        <f t="shared" si="7"/>
        <v>20.744326954862522</v>
      </c>
      <c r="R13" s="12">
        <f t="shared" si="8"/>
        <v>12.323155397290998</v>
      </c>
      <c r="S13" s="12">
        <f t="shared" si="9"/>
        <v>3.2726451056778574</v>
      </c>
      <c r="T13" s="12">
        <f t="shared" si="10"/>
        <v>0.13641251814997846</v>
      </c>
      <c r="U13" s="12">
        <f t="shared" si="11"/>
        <v>8.3688661441704568E-4</v>
      </c>
      <c r="V13" s="14">
        <f t="shared" si="12"/>
        <v>0</v>
      </c>
      <c r="W13" s="6">
        <f t="shared" si="13"/>
        <v>37618</v>
      </c>
      <c r="X13" s="35">
        <f t="shared" si="14"/>
        <v>55414</v>
      </c>
      <c r="Y13" s="35">
        <f t="shared" si="1"/>
        <v>58775</v>
      </c>
      <c r="Z13" s="35">
        <f t="shared" si="1"/>
        <v>49575</v>
      </c>
      <c r="AA13" s="35">
        <f t="shared" si="1"/>
        <v>29450</v>
      </c>
      <c r="AB13" s="35">
        <f t="shared" si="1"/>
        <v>7821</v>
      </c>
      <c r="AC13" s="8">
        <f t="shared" si="15"/>
        <v>328</v>
      </c>
      <c r="AD13" s="18">
        <f t="shared" si="16"/>
        <v>15.741000330570213</v>
      </c>
      <c r="AE13" s="36">
        <f t="shared" si="19"/>
        <v>23.187617425653084</v>
      </c>
      <c r="AF13" s="36">
        <f t="shared" si="20"/>
        <v>24.594005381180931</v>
      </c>
      <c r="AG13" s="36">
        <f t="shared" si="21"/>
        <v>20.744326954862522</v>
      </c>
      <c r="AH13" s="36">
        <f t="shared" si="22"/>
        <v>12.323155397290998</v>
      </c>
      <c r="AI13" s="36">
        <f t="shared" si="23"/>
        <v>3.2726451056778574</v>
      </c>
      <c r="AJ13" s="19">
        <f t="shared" si="18"/>
        <v>0.13724940476439551</v>
      </c>
    </row>
    <row r="14" spans="1:36" x14ac:dyDescent="0.45">
      <c r="A14" s="1">
        <v>2003</v>
      </c>
      <c r="B14" s="2">
        <v>234486</v>
      </c>
      <c r="C14" s="6">
        <v>994</v>
      </c>
      <c r="D14" s="7">
        <v>33838</v>
      </c>
      <c r="E14" s="7">
        <v>54536</v>
      </c>
      <c r="F14" s="7">
        <v>56443</v>
      </c>
      <c r="G14" s="7">
        <v>50557</v>
      </c>
      <c r="H14" s="7">
        <v>29662</v>
      </c>
      <c r="I14" s="7">
        <v>8087</v>
      </c>
      <c r="J14" s="7">
        <v>362</v>
      </c>
      <c r="K14" s="7">
        <v>7</v>
      </c>
      <c r="L14" s="8">
        <v>0</v>
      </c>
      <c r="M14" s="13">
        <f t="shared" si="3"/>
        <v>0.42390590483013912</v>
      </c>
      <c r="N14" s="12">
        <f t="shared" si="4"/>
        <v>14.43071228133023</v>
      </c>
      <c r="O14" s="12">
        <f t="shared" si="5"/>
        <v>23.257678496797247</v>
      </c>
      <c r="P14" s="12">
        <f t="shared" si="6"/>
        <v>24.070946666325497</v>
      </c>
      <c r="Q14" s="12">
        <f t="shared" si="7"/>
        <v>21.56077548339773</v>
      </c>
      <c r="R14" s="12">
        <f t="shared" si="8"/>
        <v>12.649795723412058</v>
      </c>
      <c r="S14" s="12">
        <f t="shared" si="9"/>
        <v>3.4488199721945021</v>
      </c>
      <c r="T14" s="12">
        <f t="shared" si="10"/>
        <v>0.15438021886168043</v>
      </c>
      <c r="U14" s="12">
        <f t="shared" si="11"/>
        <v>2.9852528509164726E-3</v>
      </c>
      <c r="V14" s="14">
        <f t="shared" si="12"/>
        <v>0</v>
      </c>
      <c r="W14" s="6">
        <f t="shared" si="13"/>
        <v>34832</v>
      </c>
      <c r="X14" s="35">
        <f t="shared" si="14"/>
        <v>54536</v>
      </c>
      <c r="Y14" s="35">
        <f t="shared" si="1"/>
        <v>56443</v>
      </c>
      <c r="Z14" s="35">
        <f t="shared" si="1"/>
        <v>50557</v>
      </c>
      <c r="AA14" s="35">
        <f t="shared" si="1"/>
        <v>29662</v>
      </c>
      <c r="AB14" s="35">
        <f t="shared" si="1"/>
        <v>8087</v>
      </c>
      <c r="AC14" s="8">
        <f t="shared" si="15"/>
        <v>369</v>
      </c>
      <c r="AD14" s="18">
        <f t="shared" si="16"/>
        <v>14.854618186160369</v>
      </c>
      <c r="AE14" s="36">
        <f t="shared" si="19"/>
        <v>23.257678496797247</v>
      </c>
      <c r="AF14" s="36">
        <f t="shared" si="20"/>
        <v>24.070946666325497</v>
      </c>
      <c r="AG14" s="36">
        <f t="shared" si="21"/>
        <v>21.56077548339773</v>
      </c>
      <c r="AH14" s="36">
        <f t="shared" si="22"/>
        <v>12.649795723412058</v>
      </c>
      <c r="AI14" s="36">
        <f t="shared" si="23"/>
        <v>3.4488199721945021</v>
      </c>
      <c r="AJ14" s="19">
        <f t="shared" si="18"/>
        <v>0.1573654717125969</v>
      </c>
    </row>
    <row r="15" spans="1:36" x14ac:dyDescent="0.45">
      <c r="A15" s="1">
        <v>2004</v>
      </c>
      <c r="B15" s="2">
        <v>230352</v>
      </c>
      <c r="C15" s="6">
        <v>906</v>
      </c>
      <c r="D15" s="7">
        <v>33522</v>
      </c>
      <c r="E15" s="7">
        <v>53536</v>
      </c>
      <c r="F15" s="7">
        <v>54145</v>
      </c>
      <c r="G15" s="7">
        <v>50585</v>
      </c>
      <c r="H15" s="7">
        <v>29113</v>
      </c>
      <c r="I15" s="7">
        <v>8209</v>
      </c>
      <c r="J15" s="7">
        <v>334</v>
      </c>
      <c r="K15" s="7">
        <v>2</v>
      </c>
      <c r="L15" s="8">
        <v>0</v>
      </c>
      <c r="M15" s="13">
        <f t="shared" si="3"/>
        <v>0.39331110648051676</v>
      </c>
      <c r="N15" s="12">
        <f t="shared" si="4"/>
        <v>14.55251093977912</v>
      </c>
      <c r="O15" s="12">
        <f t="shared" si="5"/>
        <v>23.24095297631451</v>
      </c>
      <c r="P15" s="12">
        <f t="shared" si="6"/>
        <v>23.505330971730221</v>
      </c>
      <c r="Q15" s="12">
        <f t="shared" si="7"/>
        <v>21.959870111828852</v>
      </c>
      <c r="R15" s="12">
        <f t="shared" si="8"/>
        <v>12.638483711884421</v>
      </c>
      <c r="S15" s="12">
        <f t="shared" si="9"/>
        <v>3.563676460373689</v>
      </c>
      <c r="T15" s="12">
        <f t="shared" si="10"/>
        <v>0.14499548517052163</v>
      </c>
      <c r="U15" s="12">
        <f t="shared" si="11"/>
        <v>8.6823643814683618E-4</v>
      </c>
      <c r="V15" s="14">
        <f t="shared" si="12"/>
        <v>0</v>
      </c>
      <c r="W15" s="6">
        <f t="shared" si="13"/>
        <v>34428</v>
      </c>
      <c r="X15" s="35">
        <f t="shared" si="14"/>
        <v>53536</v>
      </c>
      <c r="Y15" s="35">
        <f t="shared" si="1"/>
        <v>54145</v>
      </c>
      <c r="Z15" s="35">
        <f t="shared" si="1"/>
        <v>50585</v>
      </c>
      <c r="AA15" s="35">
        <f t="shared" si="1"/>
        <v>29113</v>
      </c>
      <c r="AB15" s="35">
        <f t="shared" si="1"/>
        <v>8209</v>
      </c>
      <c r="AC15" s="8">
        <f t="shared" si="15"/>
        <v>336</v>
      </c>
      <c r="AD15" s="18">
        <f t="shared" si="16"/>
        <v>14.945822046259638</v>
      </c>
      <c r="AE15" s="36">
        <f t="shared" si="19"/>
        <v>23.24095297631451</v>
      </c>
      <c r="AF15" s="36">
        <f t="shared" si="20"/>
        <v>23.505330971730221</v>
      </c>
      <c r="AG15" s="36">
        <f t="shared" si="21"/>
        <v>21.959870111828852</v>
      </c>
      <c r="AH15" s="36">
        <f t="shared" si="22"/>
        <v>12.638483711884421</v>
      </c>
      <c r="AI15" s="36">
        <f t="shared" si="23"/>
        <v>3.563676460373689</v>
      </c>
      <c r="AJ15" s="19">
        <f t="shared" si="18"/>
        <v>0.14586372160866848</v>
      </c>
    </row>
    <row r="16" spans="1:36" x14ac:dyDescent="0.45">
      <c r="A16" s="1">
        <v>2005</v>
      </c>
      <c r="B16" s="2">
        <v>230831</v>
      </c>
      <c r="C16" s="6">
        <v>935</v>
      </c>
      <c r="D16" s="7">
        <v>35143</v>
      </c>
      <c r="E16" s="7">
        <v>54032</v>
      </c>
      <c r="F16" s="7">
        <v>53401</v>
      </c>
      <c r="G16" s="7">
        <v>49906</v>
      </c>
      <c r="H16" s="7">
        <v>28810</v>
      </c>
      <c r="I16" s="7">
        <v>8234</v>
      </c>
      <c r="J16" s="7">
        <v>364</v>
      </c>
      <c r="K16" s="7">
        <v>6</v>
      </c>
      <c r="L16" s="8">
        <v>0</v>
      </c>
      <c r="M16" s="13">
        <f t="shared" si="3"/>
        <v>0.40505824607613361</v>
      </c>
      <c r="N16" s="12">
        <f t="shared" si="4"/>
        <v>15.224558226581353</v>
      </c>
      <c r="O16" s="12">
        <f t="shared" si="5"/>
        <v>23.407601232070217</v>
      </c>
      <c r="P16" s="12">
        <f t="shared" si="6"/>
        <v>23.134241068140764</v>
      </c>
      <c r="Q16" s="12">
        <f t="shared" si="7"/>
        <v>21.620146340829439</v>
      </c>
      <c r="R16" s="12">
        <f t="shared" si="8"/>
        <v>12.480992587650706</v>
      </c>
      <c r="S16" s="12">
        <f t="shared" si="9"/>
        <v>3.5671118697228708</v>
      </c>
      <c r="T16" s="12">
        <f t="shared" si="10"/>
        <v>0.15769112467562849</v>
      </c>
      <c r="U16" s="12">
        <f t="shared" si="11"/>
        <v>2.5993042528949751E-3</v>
      </c>
      <c r="V16" s="14">
        <f t="shared" si="12"/>
        <v>0</v>
      </c>
      <c r="W16" s="6">
        <f t="shared" si="13"/>
        <v>36078</v>
      </c>
      <c r="X16" s="35">
        <f t="shared" si="14"/>
        <v>54032</v>
      </c>
      <c r="Y16" s="35">
        <f t="shared" si="1"/>
        <v>53401</v>
      </c>
      <c r="Z16" s="35">
        <f t="shared" si="1"/>
        <v>49906</v>
      </c>
      <c r="AA16" s="35">
        <f t="shared" si="1"/>
        <v>28810</v>
      </c>
      <c r="AB16" s="35">
        <f t="shared" si="1"/>
        <v>8234</v>
      </c>
      <c r="AC16" s="8">
        <f t="shared" si="15"/>
        <v>370</v>
      </c>
      <c r="AD16" s="18">
        <f t="shared" si="16"/>
        <v>15.629616472657487</v>
      </c>
      <c r="AE16" s="36">
        <f t="shared" si="19"/>
        <v>23.407601232070217</v>
      </c>
      <c r="AF16" s="36">
        <f t="shared" si="20"/>
        <v>23.134241068140764</v>
      </c>
      <c r="AG16" s="36">
        <f t="shared" si="21"/>
        <v>21.620146340829439</v>
      </c>
      <c r="AH16" s="36">
        <f t="shared" si="22"/>
        <v>12.480992587650706</v>
      </c>
      <c r="AI16" s="36">
        <f t="shared" si="23"/>
        <v>3.5671118697228708</v>
      </c>
      <c r="AJ16" s="19">
        <f t="shared" si="18"/>
        <v>0.16029042892852347</v>
      </c>
    </row>
    <row r="17" spans="1:36" x14ac:dyDescent="0.45">
      <c r="A17" s="1">
        <v>2006</v>
      </c>
      <c r="B17" s="2">
        <v>231383</v>
      </c>
      <c r="C17" s="6">
        <v>954</v>
      </c>
      <c r="D17" s="7">
        <v>36819</v>
      </c>
      <c r="E17" s="7">
        <v>54312</v>
      </c>
      <c r="F17" s="7">
        <v>52387</v>
      </c>
      <c r="G17" s="7">
        <v>49335</v>
      </c>
      <c r="H17" s="7">
        <v>28767</v>
      </c>
      <c r="I17" s="7">
        <v>8372</v>
      </c>
      <c r="J17" s="7">
        <v>430</v>
      </c>
      <c r="K17" s="7">
        <v>7</v>
      </c>
      <c r="L17" s="8">
        <v>0</v>
      </c>
      <c r="M17" s="13">
        <f t="shared" si="3"/>
        <v>0.41230341036290485</v>
      </c>
      <c r="N17" s="12">
        <f t="shared" si="4"/>
        <v>15.912577847119277</v>
      </c>
      <c r="O17" s="12">
        <f t="shared" si="5"/>
        <v>23.472770255377448</v>
      </c>
      <c r="P17" s="12">
        <f t="shared" si="6"/>
        <v>22.640816308890454</v>
      </c>
      <c r="Q17" s="12">
        <f t="shared" si="7"/>
        <v>21.321791142823805</v>
      </c>
      <c r="R17" s="12">
        <f t="shared" si="8"/>
        <v>12.432633339527968</v>
      </c>
      <c r="S17" s="12">
        <f t="shared" si="9"/>
        <v>3.6182433454488878</v>
      </c>
      <c r="T17" s="12">
        <f t="shared" si="10"/>
        <v>0.18583906337112061</v>
      </c>
      <c r="U17" s="12">
        <f t="shared" si="11"/>
        <v>3.0252870781345216E-3</v>
      </c>
      <c r="V17" s="14">
        <f t="shared" si="12"/>
        <v>0</v>
      </c>
      <c r="W17" s="6">
        <f t="shared" si="13"/>
        <v>37773</v>
      </c>
      <c r="X17" s="35">
        <f t="shared" si="14"/>
        <v>54312</v>
      </c>
      <c r="Y17" s="35">
        <f t="shared" si="1"/>
        <v>52387</v>
      </c>
      <c r="Z17" s="35">
        <f t="shared" si="1"/>
        <v>49335</v>
      </c>
      <c r="AA17" s="35">
        <f t="shared" si="1"/>
        <v>28767</v>
      </c>
      <c r="AB17" s="35">
        <f t="shared" si="1"/>
        <v>8372</v>
      </c>
      <c r="AC17" s="8">
        <f t="shared" si="15"/>
        <v>437</v>
      </c>
      <c r="AD17" s="18">
        <f t="shared" si="16"/>
        <v>16.324881257482183</v>
      </c>
      <c r="AE17" s="36">
        <f t="shared" si="19"/>
        <v>23.472770255377448</v>
      </c>
      <c r="AF17" s="36">
        <f t="shared" si="20"/>
        <v>22.640816308890454</v>
      </c>
      <c r="AG17" s="36">
        <f t="shared" si="21"/>
        <v>21.321791142823805</v>
      </c>
      <c r="AH17" s="36">
        <f t="shared" si="22"/>
        <v>12.432633339527968</v>
      </c>
      <c r="AI17" s="36">
        <f t="shared" si="23"/>
        <v>3.6182433454488878</v>
      </c>
      <c r="AJ17" s="19">
        <f t="shared" si="18"/>
        <v>0.18886435044925512</v>
      </c>
    </row>
    <row r="18" spans="1:36" x14ac:dyDescent="0.45">
      <c r="A18" s="1">
        <v>2007</v>
      </c>
      <c r="B18" s="2">
        <v>240569</v>
      </c>
      <c r="C18" s="6">
        <v>955</v>
      </c>
      <c r="D18" s="7">
        <v>38650</v>
      </c>
      <c r="E18" s="7">
        <v>56174</v>
      </c>
      <c r="F18" s="7">
        <v>56429</v>
      </c>
      <c r="G18" s="7">
        <v>50151</v>
      </c>
      <c r="H18" s="7">
        <v>29438</v>
      </c>
      <c r="I18" s="7">
        <v>8324</v>
      </c>
      <c r="J18" s="7">
        <v>394</v>
      </c>
      <c r="K18" s="7">
        <v>9</v>
      </c>
      <c r="L18" s="8">
        <v>45</v>
      </c>
      <c r="M18" s="13">
        <f t="shared" si="3"/>
        <v>0.39697550390948128</v>
      </c>
      <c r="N18" s="12">
        <f t="shared" si="4"/>
        <v>16.066076676546022</v>
      </c>
      <c r="O18" s="12">
        <f t="shared" si="5"/>
        <v>23.350473252996022</v>
      </c>
      <c r="P18" s="12">
        <f t="shared" si="6"/>
        <v>23.456471947757194</v>
      </c>
      <c r="Q18" s="12">
        <f t="shared" si="7"/>
        <v>20.846825650852772</v>
      </c>
      <c r="R18" s="12">
        <f t="shared" si="8"/>
        <v>12.23682186815425</v>
      </c>
      <c r="S18" s="12">
        <f t="shared" si="9"/>
        <v>3.4601299419293428</v>
      </c>
      <c r="T18" s="12">
        <f t="shared" si="10"/>
        <v>0.16377837543490642</v>
      </c>
      <c r="U18" s="12">
        <f t="shared" si="11"/>
        <v>3.7411304033354255E-3</v>
      </c>
      <c r="V18" s="14">
        <f t="shared" si="12"/>
        <v>1.8705652016677128E-2</v>
      </c>
      <c r="W18" s="6">
        <f t="shared" si="13"/>
        <v>39605</v>
      </c>
      <c r="X18" s="35">
        <f t="shared" si="14"/>
        <v>56174</v>
      </c>
      <c r="Y18" s="35">
        <f t="shared" si="1"/>
        <v>56429</v>
      </c>
      <c r="Z18" s="35">
        <f t="shared" si="1"/>
        <v>50151</v>
      </c>
      <c r="AA18" s="35">
        <f t="shared" si="1"/>
        <v>29438</v>
      </c>
      <c r="AB18" s="35">
        <f t="shared" si="1"/>
        <v>8324</v>
      </c>
      <c r="AC18" s="8">
        <f t="shared" si="15"/>
        <v>403</v>
      </c>
      <c r="AD18" s="18">
        <f t="shared" si="16"/>
        <v>16.463052180455502</v>
      </c>
      <c r="AE18" s="36">
        <f t="shared" si="19"/>
        <v>23.350473252996022</v>
      </c>
      <c r="AF18" s="36">
        <f t="shared" si="20"/>
        <v>23.456471947757194</v>
      </c>
      <c r="AG18" s="36">
        <f t="shared" si="21"/>
        <v>20.846825650852772</v>
      </c>
      <c r="AH18" s="36">
        <f t="shared" si="22"/>
        <v>12.23682186815425</v>
      </c>
      <c r="AI18" s="36">
        <f t="shared" si="23"/>
        <v>3.4601299419293428</v>
      </c>
      <c r="AJ18" s="19">
        <f t="shared" si="18"/>
        <v>0.16751950583824185</v>
      </c>
    </row>
    <row r="19" spans="1:36" x14ac:dyDescent="0.45">
      <c r="A19" s="1">
        <v>2008</v>
      </c>
      <c r="B19" s="2">
        <v>246581</v>
      </c>
      <c r="C19" s="6">
        <v>1025</v>
      </c>
      <c r="D19" s="7">
        <v>39902</v>
      </c>
      <c r="E19" s="7">
        <v>57915</v>
      </c>
      <c r="F19" s="7">
        <v>58338</v>
      </c>
      <c r="G19" s="7">
        <v>50391</v>
      </c>
      <c r="H19" s="7">
        <v>30234</v>
      </c>
      <c r="I19" s="7">
        <v>8307</v>
      </c>
      <c r="J19" s="7">
        <v>436</v>
      </c>
      <c r="K19" s="7">
        <v>0</v>
      </c>
      <c r="L19" s="8">
        <v>33</v>
      </c>
      <c r="M19" s="13">
        <f t="shared" si="3"/>
        <v>0.41568490678519432</v>
      </c>
      <c r="N19" s="12">
        <f t="shared" si="4"/>
        <v>16.182106488334462</v>
      </c>
      <c r="O19" s="12">
        <f t="shared" si="5"/>
        <v>23.487211098989786</v>
      </c>
      <c r="P19" s="12">
        <f t="shared" si="6"/>
        <v>23.658757162960651</v>
      </c>
      <c r="Q19" s="12">
        <f t="shared" si="7"/>
        <v>20.435881110061196</v>
      </c>
      <c r="R19" s="12">
        <f t="shared" si="8"/>
        <v>12.261285338286406</v>
      </c>
      <c r="S19" s="12">
        <f t="shared" si="9"/>
        <v>3.3688727030874235</v>
      </c>
      <c r="T19" s="12">
        <f t="shared" si="10"/>
        <v>0.1768181652276534</v>
      </c>
      <c r="U19" s="12">
        <f t="shared" si="11"/>
        <v>0</v>
      </c>
      <c r="V19" s="14">
        <f t="shared" si="12"/>
        <v>1.3383026267230647E-2</v>
      </c>
      <c r="W19" s="6">
        <f t="shared" si="13"/>
        <v>40927</v>
      </c>
      <c r="X19" s="35">
        <f t="shared" si="14"/>
        <v>57915</v>
      </c>
      <c r="Y19" s="35">
        <f t="shared" ref="Y19:Y35" si="24">F19</f>
        <v>58338</v>
      </c>
      <c r="Z19" s="35">
        <f t="shared" ref="Z19:Z35" si="25">G19</f>
        <v>50391</v>
      </c>
      <c r="AA19" s="35">
        <f t="shared" ref="AA19:AA35" si="26">H19</f>
        <v>30234</v>
      </c>
      <c r="AB19" s="35">
        <f t="shared" ref="AB19:AB35" si="27">I19</f>
        <v>8307</v>
      </c>
      <c r="AC19" s="8">
        <f t="shared" si="15"/>
        <v>436</v>
      </c>
      <c r="AD19" s="18">
        <f t="shared" si="16"/>
        <v>16.597791395119657</v>
      </c>
      <c r="AE19" s="36">
        <f t="shared" si="19"/>
        <v>23.487211098989786</v>
      </c>
      <c r="AF19" s="36">
        <f t="shared" si="20"/>
        <v>23.658757162960651</v>
      </c>
      <c r="AG19" s="36">
        <f t="shared" si="21"/>
        <v>20.435881110061196</v>
      </c>
      <c r="AH19" s="36">
        <f t="shared" si="22"/>
        <v>12.261285338286406</v>
      </c>
      <c r="AI19" s="36">
        <f t="shared" si="23"/>
        <v>3.3688727030874235</v>
      </c>
      <c r="AJ19" s="19">
        <f t="shared" si="18"/>
        <v>0.1768181652276534</v>
      </c>
    </row>
    <row r="20" spans="1:36" x14ac:dyDescent="0.45">
      <c r="A20" s="1">
        <v>2009</v>
      </c>
      <c r="B20" s="2">
        <v>252240</v>
      </c>
      <c r="C20" s="6">
        <v>1073</v>
      </c>
      <c r="D20" s="7">
        <v>39629</v>
      </c>
      <c r="E20" s="7">
        <v>60361</v>
      </c>
      <c r="F20" s="7">
        <v>60759</v>
      </c>
      <c r="G20" s="7">
        <v>49955</v>
      </c>
      <c r="H20" s="7">
        <v>31375</v>
      </c>
      <c r="I20" s="7">
        <v>8581</v>
      </c>
      <c r="J20" s="7">
        <v>437</v>
      </c>
      <c r="K20" s="7">
        <v>7</v>
      </c>
      <c r="L20" s="8">
        <v>63</v>
      </c>
      <c r="M20" s="13">
        <f t="shared" si="3"/>
        <v>0.42538851887091661</v>
      </c>
      <c r="N20" s="12">
        <f t="shared" si="4"/>
        <v>15.710830954646369</v>
      </c>
      <c r="O20" s="12">
        <f t="shared" si="5"/>
        <v>23.929987313669521</v>
      </c>
      <c r="P20" s="12">
        <f t="shared" si="6"/>
        <v>24.08777354900095</v>
      </c>
      <c r="Q20" s="12">
        <f t="shared" si="7"/>
        <v>19.804551221059306</v>
      </c>
      <c r="R20" s="12">
        <f t="shared" si="8"/>
        <v>12.438550586742785</v>
      </c>
      <c r="S20" s="12">
        <f t="shared" si="9"/>
        <v>3.4019188074849347</v>
      </c>
      <c r="T20" s="12">
        <f t="shared" si="10"/>
        <v>0.1732477006026007</v>
      </c>
      <c r="U20" s="12">
        <f t="shared" si="11"/>
        <v>2.7751347922613384E-3</v>
      </c>
      <c r="V20" s="14">
        <f t="shared" si="12"/>
        <v>2.4976213130352046E-2</v>
      </c>
      <c r="W20" s="6">
        <f t="shared" si="13"/>
        <v>40702</v>
      </c>
      <c r="X20" s="35">
        <f t="shared" si="14"/>
        <v>60361</v>
      </c>
      <c r="Y20" s="35">
        <f t="shared" si="24"/>
        <v>60759</v>
      </c>
      <c r="Z20" s="35">
        <f t="shared" si="25"/>
        <v>49955</v>
      </c>
      <c r="AA20" s="35">
        <f t="shared" si="26"/>
        <v>31375</v>
      </c>
      <c r="AB20" s="35">
        <f t="shared" si="27"/>
        <v>8581</v>
      </c>
      <c r="AC20" s="8">
        <f t="shared" si="15"/>
        <v>444</v>
      </c>
      <c r="AD20" s="18">
        <f t="shared" si="16"/>
        <v>16.136219473517286</v>
      </c>
      <c r="AE20" s="36">
        <f t="shared" si="19"/>
        <v>23.929987313669521</v>
      </c>
      <c r="AF20" s="36">
        <f t="shared" si="20"/>
        <v>24.08777354900095</v>
      </c>
      <c r="AG20" s="36">
        <f t="shared" si="21"/>
        <v>19.804551221059306</v>
      </c>
      <c r="AH20" s="36">
        <f t="shared" si="22"/>
        <v>12.438550586742785</v>
      </c>
      <c r="AI20" s="36">
        <f t="shared" si="23"/>
        <v>3.4019188074849347</v>
      </c>
      <c r="AJ20" s="19">
        <f t="shared" si="18"/>
        <v>0.17602283539486202</v>
      </c>
    </row>
    <row r="21" spans="1:36" x14ac:dyDescent="0.45">
      <c r="A21" s="1">
        <v>2010</v>
      </c>
      <c r="B21" s="2">
        <v>250643</v>
      </c>
      <c r="C21" s="6">
        <v>963</v>
      </c>
      <c r="D21" s="7">
        <v>38047</v>
      </c>
      <c r="E21" s="7">
        <v>59884</v>
      </c>
      <c r="F21" s="7">
        <v>59623</v>
      </c>
      <c r="G21" s="7">
        <v>50841</v>
      </c>
      <c r="H21" s="7">
        <v>32300</v>
      </c>
      <c r="I21" s="7">
        <v>8478</v>
      </c>
      <c r="J21" s="7">
        <v>449</v>
      </c>
      <c r="K21" s="7">
        <v>5</v>
      </c>
      <c r="L21" s="8">
        <v>53</v>
      </c>
      <c r="M21" s="13">
        <f t="shared" si="3"/>
        <v>0.38421180723179982</v>
      </c>
      <c r="N21" s="12">
        <f t="shared" si="4"/>
        <v>15.179757663290019</v>
      </c>
      <c r="O21" s="12">
        <f t="shared" si="5"/>
        <v>23.892149391764381</v>
      </c>
      <c r="P21" s="12">
        <f t="shared" si="6"/>
        <v>23.788017219710902</v>
      </c>
      <c r="Q21" s="12">
        <f t="shared" si="7"/>
        <v>20.284228963106891</v>
      </c>
      <c r="R21" s="12">
        <f t="shared" si="8"/>
        <v>12.886855008917063</v>
      </c>
      <c r="S21" s="12">
        <f t="shared" si="9"/>
        <v>3.3825002094612659</v>
      </c>
      <c r="T21" s="12">
        <f t="shared" si="10"/>
        <v>0.17913925383912577</v>
      </c>
      <c r="U21" s="12">
        <f t="shared" si="11"/>
        <v>1.9948691964267904E-3</v>
      </c>
      <c r="V21" s="14">
        <f t="shared" si="12"/>
        <v>2.1145613482123977E-2</v>
      </c>
      <c r="W21" s="6">
        <f t="shared" si="13"/>
        <v>39010</v>
      </c>
      <c r="X21" s="35">
        <f t="shared" si="14"/>
        <v>59884</v>
      </c>
      <c r="Y21" s="35">
        <f t="shared" si="24"/>
        <v>59623</v>
      </c>
      <c r="Z21" s="35">
        <f t="shared" si="25"/>
        <v>50841</v>
      </c>
      <c r="AA21" s="35">
        <f t="shared" si="26"/>
        <v>32300</v>
      </c>
      <c r="AB21" s="35">
        <f t="shared" si="27"/>
        <v>8478</v>
      </c>
      <c r="AC21" s="8">
        <f t="shared" si="15"/>
        <v>454</v>
      </c>
      <c r="AD21" s="18">
        <f t="shared" si="16"/>
        <v>15.563969470521819</v>
      </c>
      <c r="AE21" s="36">
        <f t="shared" si="19"/>
        <v>23.892149391764381</v>
      </c>
      <c r="AF21" s="36">
        <f t="shared" si="20"/>
        <v>23.788017219710902</v>
      </c>
      <c r="AG21" s="36">
        <f t="shared" si="21"/>
        <v>20.284228963106891</v>
      </c>
      <c r="AH21" s="36">
        <f t="shared" si="22"/>
        <v>12.886855008917063</v>
      </c>
      <c r="AI21" s="36">
        <f t="shared" si="23"/>
        <v>3.3825002094612659</v>
      </c>
      <c r="AJ21" s="19">
        <f t="shared" si="18"/>
        <v>0.18113412303555257</v>
      </c>
    </row>
    <row r="22" spans="1:36" x14ac:dyDescent="0.45">
      <c r="A22" s="1">
        <v>2011</v>
      </c>
      <c r="B22" s="2">
        <v>247358</v>
      </c>
      <c r="C22" s="6">
        <v>955</v>
      </c>
      <c r="D22" s="7">
        <v>36258</v>
      </c>
      <c r="E22" s="7">
        <v>59378</v>
      </c>
      <c r="F22" s="7">
        <v>58848</v>
      </c>
      <c r="G22" s="7">
        <v>50671</v>
      </c>
      <c r="H22" s="7">
        <v>32082</v>
      </c>
      <c r="I22" s="7">
        <v>8653</v>
      </c>
      <c r="J22" s="7">
        <v>480</v>
      </c>
      <c r="K22" s="7">
        <v>6</v>
      </c>
      <c r="L22" s="8">
        <v>27</v>
      </c>
      <c r="M22" s="13">
        <f t="shared" si="3"/>
        <v>0.38608009443802099</v>
      </c>
      <c r="N22" s="12">
        <f t="shared" si="4"/>
        <v>14.658106873438498</v>
      </c>
      <c r="O22" s="12">
        <f t="shared" si="5"/>
        <v>24.00488360999038</v>
      </c>
      <c r="P22" s="12">
        <f t="shared" si="6"/>
        <v>23.790619264386031</v>
      </c>
      <c r="Q22" s="12">
        <f t="shared" si="7"/>
        <v>20.484884256826138</v>
      </c>
      <c r="R22" s="12">
        <f t="shared" si="8"/>
        <v>12.969865539016325</v>
      </c>
      <c r="S22" s="12">
        <f t="shared" si="9"/>
        <v>3.4981686462536086</v>
      </c>
      <c r="T22" s="12">
        <f t="shared" si="10"/>
        <v>0.19405072809450269</v>
      </c>
      <c r="U22" s="12">
        <f t="shared" si="11"/>
        <v>2.4256341011812837E-3</v>
      </c>
      <c r="V22" s="14">
        <f t="shared" si="12"/>
        <v>1.0915353455315777E-2</v>
      </c>
      <c r="W22" s="6">
        <f t="shared" si="13"/>
        <v>37213</v>
      </c>
      <c r="X22" s="35">
        <f t="shared" si="14"/>
        <v>59378</v>
      </c>
      <c r="Y22" s="35">
        <f t="shared" si="24"/>
        <v>58848</v>
      </c>
      <c r="Z22" s="35">
        <f t="shared" si="25"/>
        <v>50671</v>
      </c>
      <c r="AA22" s="35">
        <f t="shared" si="26"/>
        <v>32082</v>
      </c>
      <c r="AB22" s="35">
        <f t="shared" si="27"/>
        <v>8653</v>
      </c>
      <c r="AC22" s="8">
        <f t="shared" si="15"/>
        <v>486</v>
      </c>
      <c r="AD22" s="18">
        <f t="shared" si="16"/>
        <v>15.04418696787652</v>
      </c>
      <c r="AE22" s="36">
        <f t="shared" si="19"/>
        <v>24.00488360999038</v>
      </c>
      <c r="AF22" s="36">
        <f t="shared" si="20"/>
        <v>23.790619264386031</v>
      </c>
      <c r="AG22" s="36">
        <f t="shared" si="21"/>
        <v>20.484884256826138</v>
      </c>
      <c r="AH22" s="36">
        <f t="shared" si="22"/>
        <v>12.969865539016325</v>
      </c>
      <c r="AI22" s="36">
        <f t="shared" si="23"/>
        <v>3.4981686462536086</v>
      </c>
      <c r="AJ22" s="19">
        <f t="shared" si="18"/>
        <v>0.19647636219568398</v>
      </c>
    </row>
    <row r="23" spans="1:36" x14ac:dyDescent="0.45">
      <c r="A23" s="1">
        <v>2012</v>
      </c>
      <c r="B23" s="2">
        <v>243635</v>
      </c>
      <c r="C23" s="6">
        <v>879</v>
      </c>
      <c r="D23" s="7">
        <v>34305</v>
      </c>
      <c r="E23" s="7">
        <v>58146</v>
      </c>
      <c r="F23" s="7">
        <v>57491</v>
      </c>
      <c r="G23" s="7">
        <v>52386</v>
      </c>
      <c r="H23" s="7">
        <v>31475</v>
      </c>
      <c r="I23" s="7">
        <v>8449</v>
      </c>
      <c r="J23" s="7">
        <v>466</v>
      </c>
      <c r="K23" s="7">
        <v>8</v>
      </c>
      <c r="L23" s="8">
        <v>30</v>
      </c>
      <c r="M23" s="13">
        <f t="shared" si="3"/>
        <v>0.36078560141194821</v>
      </c>
      <c r="N23" s="12">
        <f t="shared" si="4"/>
        <v>14.080489256469718</v>
      </c>
      <c r="O23" s="12">
        <f t="shared" si="5"/>
        <v>23.866029100909149</v>
      </c>
      <c r="P23" s="12">
        <f t="shared" si="6"/>
        <v>23.597184312598767</v>
      </c>
      <c r="Q23" s="12">
        <f t="shared" si="7"/>
        <v>21.501836764011738</v>
      </c>
      <c r="R23" s="12">
        <f t="shared" si="8"/>
        <v>12.91891559094547</v>
      </c>
      <c r="S23" s="12">
        <f t="shared" si="9"/>
        <v>3.4678925441746875</v>
      </c>
      <c r="T23" s="12">
        <f t="shared" si="10"/>
        <v>0.19126972725593613</v>
      </c>
      <c r="U23" s="12">
        <f t="shared" si="11"/>
        <v>3.2836004679130666E-3</v>
      </c>
      <c r="V23" s="14">
        <f t="shared" si="12"/>
        <v>1.2313501754674001E-2</v>
      </c>
      <c r="W23" s="6">
        <f t="shared" si="13"/>
        <v>35184</v>
      </c>
      <c r="X23" s="35">
        <f t="shared" si="14"/>
        <v>58146</v>
      </c>
      <c r="Y23" s="35">
        <f t="shared" si="24"/>
        <v>57491</v>
      </c>
      <c r="Z23" s="35">
        <f t="shared" si="25"/>
        <v>52386</v>
      </c>
      <c r="AA23" s="35">
        <f t="shared" si="26"/>
        <v>31475</v>
      </c>
      <c r="AB23" s="35">
        <f t="shared" si="27"/>
        <v>8449</v>
      </c>
      <c r="AC23" s="8">
        <f t="shared" si="15"/>
        <v>474</v>
      </c>
      <c r="AD23" s="18">
        <f t="shared" si="16"/>
        <v>14.441274857881666</v>
      </c>
      <c r="AE23" s="36">
        <f t="shared" si="19"/>
        <v>23.866029100909149</v>
      </c>
      <c r="AF23" s="36">
        <f t="shared" si="20"/>
        <v>23.597184312598767</v>
      </c>
      <c r="AG23" s="36">
        <f t="shared" si="21"/>
        <v>21.501836764011738</v>
      </c>
      <c r="AH23" s="36">
        <f t="shared" si="22"/>
        <v>12.91891559094547</v>
      </c>
      <c r="AI23" s="36">
        <f t="shared" si="23"/>
        <v>3.4678925441746875</v>
      </c>
      <c r="AJ23" s="19">
        <f t="shared" si="18"/>
        <v>0.1945533277238492</v>
      </c>
    </row>
    <row r="24" spans="1:36" x14ac:dyDescent="0.45">
      <c r="A24" s="1">
        <v>2013</v>
      </c>
      <c r="B24" s="2">
        <v>242005</v>
      </c>
      <c r="C24" s="6">
        <v>902</v>
      </c>
      <c r="D24" s="7">
        <v>31506</v>
      </c>
      <c r="E24" s="7">
        <v>56898</v>
      </c>
      <c r="F24" s="7">
        <v>58140</v>
      </c>
      <c r="G24" s="7">
        <v>53625</v>
      </c>
      <c r="H24" s="7">
        <v>31614</v>
      </c>
      <c r="I24" s="7">
        <v>8814</v>
      </c>
      <c r="J24" s="7">
        <v>448</v>
      </c>
      <c r="K24" s="7">
        <v>12</v>
      </c>
      <c r="L24" s="8">
        <v>46</v>
      </c>
      <c r="M24" s="13">
        <f t="shared" si="3"/>
        <v>0.37271957190967125</v>
      </c>
      <c r="N24" s="12">
        <f t="shared" si="4"/>
        <v>13.018739282246234</v>
      </c>
      <c r="O24" s="12">
        <f t="shared" si="5"/>
        <v>23.511084481725582</v>
      </c>
      <c r="P24" s="12">
        <f t="shared" si="6"/>
        <v>24.02429701865664</v>
      </c>
      <c r="Q24" s="12">
        <f t="shared" si="7"/>
        <v>22.158633086093264</v>
      </c>
      <c r="R24" s="12">
        <f t="shared" si="8"/>
        <v>13.063366459370673</v>
      </c>
      <c r="S24" s="12">
        <f t="shared" si="9"/>
        <v>3.6420735108778746</v>
      </c>
      <c r="T24" s="12">
        <f t="shared" si="10"/>
        <v>0.18512014214582345</v>
      </c>
      <c r="U24" s="12">
        <f t="shared" si="11"/>
        <v>4.9585752360488417E-3</v>
      </c>
      <c r="V24" s="14">
        <f t="shared" si="12"/>
        <v>1.9007871738187226E-2</v>
      </c>
      <c r="W24" s="6">
        <f t="shared" si="13"/>
        <v>32408</v>
      </c>
      <c r="X24" s="35">
        <f t="shared" si="14"/>
        <v>56898</v>
      </c>
      <c r="Y24" s="35">
        <f t="shared" si="24"/>
        <v>58140</v>
      </c>
      <c r="Z24" s="35">
        <f t="shared" si="25"/>
        <v>53625</v>
      </c>
      <c r="AA24" s="35">
        <f t="shared" si="26"/>
        <v>31614</v>
      </c>
      <c r="AB24" s="35">
        <f t="shared" si="27"/>
        <v>8814</v>
      </c>
      <c r="AC24" s="8">
        <f t="shared" si="15"/>
        <v>460</v>
      </c>
      <c r="AD24" s="18">
        <f t="shared" si="16"/>
        <v>13.391458854155905</v>
      </c>
      <c r="AE24" s="36">
        <f t="shared" si="19"/>
        <v>23.511084481725582</v>
      </c>
      <c r="AF24" s="36">
        <f t="shared" si="20"/>
        <v>24.02429701865664</v>
      </c>
      <c r="AG24" s="36">
        <f t="shared" si="21"/>
        <v>22.158633086093264</v>
      </c>
      <c r="AH24" s="36">
        <f t="shared" si="22"/>
        <v>13.063366459370673</v>
      </c>
      <c r="AI24" s="36">
        <f t="shared" si="23"/>
        <v>3.6420735108778746</v>
      </c>
      <c r="AJ24" s="19">
        <f t="shared" si="18"/>
        <v>0.19007871738187229</v>
      </c>
    </row>
    <row r="25" spans="1:36" x14ac:dyDescent="0.45">
      <c r="A25" s="1">
        <v>2014</v>
      </c>
      <c r="B25" s="2">
        <v>250997</v>
      </c>
      <c r="C25" s="6">
        <v>852</v>
      </c>
      <c r="D25" s="7">
        <v>29454</v>
      </c>
      <c r="E25" s="7">
        <v>57612</v>
      </c>
      <c r="F25" s="7">
        <v>62810</v>
      </c>
      <c r="G25" s="7">
        <v>57520</v>
      </c>
      <c r="H25" s="7">
        <v>32888</v>
      </c>
      <c r="I25" s="7">
        <v>9302</v>
      </c>
      <c r="J25" s="7">
        <v>487</v>
      </c>
      <c r="K25" s="7">
        <v>15</v>
      </c>
      <c r="L25" s="8">
        <v>57</v>
      </c>
      <c r="M25" s="13">
        <f t="shared" si="3"/>
        <v>0.33944628820264783</v>
      </c>
      <c r="N25" s="12">
        <f t="shared" si="4"/>
        <v>11.734801611174635</v>
      </c>
      <c r="O25" s="12">
        <f t="shared" si="5"/>
        <v>22.953262389590314</v>
      </c>
      <c r="P25" s="12">
        <f t="shared" si="6"/>
        <v>25.024203476535579</v>
      </c>
      <c r="Q25" s="12">
        <f t="shared" si="7"/>
        <v>22.916608565042608</v>
      </c>
      <c r="R25" s="12">
        <f t="shared" si="8"/>
        <v>13.102945453531317</v>
      </c>
      <c r="S25" s="12">
        <f t="shared" si="9"/>
        <v>3.7060203906819607</v>
      </c>
      <c r="T25" s="12">
        <f t="shared" si="10"/>
        <v>0.19402622342099704</v>
      </c>
      <c r="U25" s="12">
        <f t="shared" si="11"/>
        <v>5.9761670458212653E-3</v>
      </c>
      <c r="V25" s="14">
        <f t="shared" si="12"/>
        <v>2.2709434774120806E-2</v>
      </c>
      <c r="W25" s="6">
        <f t="shared" si="13"/>
        <v>30306</v>
      </c>
      <c r="X25" s="35">
        <f t="shared" si="14"/>
        <v>57612</v>
      </c>
      <c r="Y25" s="35">
        <f t="shared" si="24"/>
        <v>62810</v>
      </c>
      <c r="Z25" s="35">
        <f t="shared" si="25"/>
        <v>57520</v>
      </c>
      <c r="AA25" s="35">
        <f t="shared" si="26"/>
        <v>32888</v>
      </c>
      <c r="AB25" s="35">
        <f t="shared" si="27"/>
        <v>9302</v>
      </c>
      <c r="AC25" s="8">
        <f t="shared" si="15"/>
        <v>502</v>
      </c>
      <c r="AD25" s="18">
        <f t="shared" si="16"/>
        <v>12.074247899377283</v>
      </c>
      <c r="AE25" s="36">
        <f t="shared" si="19"/>
        <v>22.953262389590314</v>
      </c>
      <c r="AF25" s="36">
        <f t="shared" si="20"/>
        <v>25.024203476535579</v>
      </c>
      <c r="AG25" s="36">
        <f t="shared" si="21"/>
        <v>22.916608565042608</v>
      </c>
      <c r="AH25" s="36">
        <f t="shared" si="22"/>
        <v>13.102945453531317</v>
      </c>
      <c r="AI25" s="36">
        <f t="shared" si="23"/>
        <v>3.7060203906819607</v>
      </c>
      <c r="AJ25" s="19">
        <f t="shared" si="18"/>
        <v>0.20000239046681831</v>
      </c>
    </row>
    <row r="26" spans="1:36" x14ac:dyDescent="0.45">
      <c r="A26" s="1">
        <v>2015</v>
      </c>
      <c r="B26" s="2">
        <v>244670</v>
      </c>
      <c r="C26" s="6">
        <v>717</v>
      </c>
      <c r="D26" s="7">
        <v>25448</v>
      </c>
      <c r="E26" s="7">
        <v>54261</v>
      </c>
      <c r="F26" s="7">
        <v>63210</v>
      </c>
      <c r="G26" s="7">
        <v>57373</v>
      </c>
      <c r="H26" s="7">
        <v>33596</v>
      </c>
      <c r="I26" s="7">
        <v>9545</v>
      </c>
      <c r="J26" s="7">
        <v>491</v>
      </c>
      <c r="K26" s="7">
        <v>13</v>
      </c>
      <c r="L26" s="8">
        <v>16</v>
      </c>
      <c r="M26" s="13">
        <f t="shared" si="3"/>
        <v>0.29304777864061798</v>
      </c>
      <c r="N26" s="12">
        <f t="shared" si="4"/>
        <v>10.400948215964361</v>
      </c>
      <c r="O26" s="12">
        <f t="shared" si="5"/>
        <v>22.177218294028691</v>
      </c>
      <c r="P26" s="12">
        <f t="shared" si="6"/>
        <v>25.83479789103691</v>
      </c>
      <c r="Q26" s="12">
        <f t="shared" si="7"/>
        <v>23.449135570360077</v>
      </c>
      <c r="R26" s="12">
        <f t="shared" si="8"/>
        <v>13.731148077001675</v>
      </c>
      <c r="S26" s="12">
        <f t="shared" si="9"/>
        <v>3.9011730085421177</v>
      </c>
      <c r="T26" s="12">
        <f t="shared" si="10"/>
        <v>0.20067846487105082</v>
      </c>
      <c r="U26" s="12">
        <f t="shared" si="11"/>
        <v>5.3132791106388199E-3</v>
      </c>
      <c r="V26" s="14">
        <f t="shared" si="12"/>
        <v>6.5394204438631622E-3</v>
      </c>
      <c r="W26" s="6">
        <f t="shared" si="13"/>
        <v>26165</v>
      </c>
      <c r="X26" s="35">
        <f t="shared" si="14"/>
        <v>54261</v>
      </c>
      <c r="Y26" s="35">
        <f t="shared" si="24"/>
        <v>63210</v>
      </c>
      <c r="Z26" s="35">
        <f t="shared" si="25"/>
        <v>57373</v>
      </c>
      <c r="AA26" s="35">
        <f t="shared" si="26"/>
        <v>33596</v>
      </c>
      <c r="AB26" s="35">
        <f t="shared" si="27"/>
        <v>9545</v>
      </c>
      <c r="AC26" s="8">
        <f t="shared" si="15"/>
        <v>504</v>
      </c>
      <c r="AD26" s="18">
        <f t="shared" si="16"/>
        <v>10.693995994604979</v>
      </c>
      <c r="AE26" s="36">
        <f t="shared" si="19"/>
        <v>22.177218294028691</v>
      </c>
      <c r="AF26" s="36">
        <f t="shared" si="20"/>
        <v>25.83479789103691</v>
      </c>
      <c r="AG26" s="36">
        <f t="shared" si="21"/>
        <v>23.449135570360077</v>
      </c>
      <c r="AH26" s="36">
        <f t="shared" si="22"/>
        <v>13.731148077001675</v>
      </c>
      <c r="AI26" s="36">
        <f t="shared" si="23"/>
        <v>3.9011730085421177</v>
      </c>
      <c r="AJ26" s="19">
        <f t="shared" si="18"/>
        <v>0.20599174398168962</v>
      </c>
    </row>
    <row r="27" spans="1:36" x14ac:dyDescent="0.45">
      <c r="A27" s="1">
        <v>2016</v>
      </c>
      <c r="B27" s="2">
        <v>231749</v>
      </c>
      <c r="C27" s="6">
        <v>649</v>
      </c>
      <c r="D27" s="7">
        <v>20521</v>
      </c>
      <c r="E27" s="7">
        <v>48888</v>
      </c>
      <c r="F27" s="7">
        <v>61734</v>
      </c>
      <c r="G27" s="7">
        <v>56325</v>
      </c>
      <c r="H27" s="7">
        <v>33565</v>
      </c>
      <c r="I27" s="7">
        <v>9497</v>
      </c>
      <c r="J27" s="7">
        <v>499</v>
      </c>
      <c r="K27" s="7">
        <v>14</v>
      </c>
      <c r="L27" s="8">
        <v>57</v>
      </c>
      <c r="M27" s="13">
        <f t="shared" si="3"/>
        <v>0.28004435833595831</v>
      </c>
      <c r="N27" s="12">
        <f t="shared" si="4"/>
        <v>8.8548386400804304</v>
      </c>
      <c r="O27" s="12">
        <f t="shared" si="5"/>
        <v>21.095236656900354</v>
      </c>
      <c r="P27" s="12">
        <f t="shared" si="6"/>
        <v>26.638302646397609</v>
      </c>
      <c r="Q27" s="12">
        <f t="shared" si="7"/>
        <v>24.304311992716258</v>
      </c>
      <c r="R27" s="12">
        <f t="shared" si="8"/>
        <v>14.483341891442898</v>
      </c>
      <c r="S27" s="12">
        <f t="shared" si="9"/>
        <v>4.0979680602721045</v>
      </c>
      <c r="T27" s="12">
        <f t="shared" si="10"/>
        <v>0.21531915995322526</v>
      </c>
      <c r="U27" s="12">
        <f t="shared" si="11"/>
        <v>6.0410185157217505E-3</v>
      </c>
      <c r="V27" s="14">
        <f t="shared" si="12"/>
        <v>2.4595575385438558E-2</v>
      </c>
      <c r="W27" s="6">
        <f t="shared" si="13"/>
        <v>21170</v>
      </c>
      <c r="X27" s="35">
        <f t="shared" si="14"/>
        <v>48888</v>
      </c>
      <c r="Y27" s="35">
        <f t="shared" si="24"/>
        <v>61734</v>
      </c>
      <c r="Z27" s="35">
        <f t="shared" si="25"/>
        <v>56325</v>
      </c>
      <c r="AA27" s="35">
        <f t="shared" si="26"/>
        <v>33565</v>
      </c>
      <c r="AB27" s="35">
        <f t="shared" si="27"/>
        <v>9497</v>
      </c>
      <c r="AC27" s="8">
        <f t="shared" si="15"/>
        <v>513</v>
      </c>
      <c r="AD27" s="18">
        <f t="shared" si="16"/>
        <v>9.1348829984163888</v>
      </c>
      <c r="AE27" s="36">
        <f t="shared" si="19"/>
        <v>21.095236656900354</v>
      </c>
      <c r="AF27" s="36">
        <f t="shared" si="20"/>
        <v>26.638302646397609</v>
      </c>
      <c r="AG27" s="36">
        <f t="shared" si="21"/>
        <v>24.304311992716258</v>
      </c>
      <c r="AH27" s="36">
        <f t="shared" si="22"/>
        <v>14.483341891442898</v>
      </c>
      <c r="AI27" s="36">
        <f t="shared" si="23"/>
        <v>4.0979680602721045</v>
      </c>
      <c r="AJ27" s="19">
        <f t="shared" si="18"/>
        <v>0.22136017846894701</v>
      </c>
    </row>
    <row r="28" spans="1:36" x14ac:dyDescent="0.45">
      <c r="A28" s="1">
        <v>2017</v>
      </c>
      <c r="B28" s="2">
        <v>219186</v>
      </c>
      <c r="C28" s="6">
        <v>472</v>
      </c>
      <c r="D28" s="7">
        <v>16897</v>
      </c>
      <c r="E28" s="7">
        <v>45057</v>
      </c>
      <c r="F28" s="7">
        <v>59455</v>
      </c>
      <c r="G28" s="7">
        <v>53929</v>
      </c>
      <c r="H28" s="7">
        <v>33523</v>
      </c>
      <c r="I28" s="7">
        <v>9095</v>
      </c>
      <c r="J28" s="7">
        <v>537</v>
      </c>
      <c r="K28" s="7">
        <v>19</v>
      </c>
      <c r="L28" s="8">
        <v>202</v>
      </c>
      <c r="M28" s="13">
        <f t="shared" si="3"/>
        <v>0.21534222076227497</v>
      </c>
      <c r="N28" s="12">
        <f t="shared" si="4"/>
        <v>7.7089777631783054</v>
      </c>
      <c r="O28" s="12">
        <f t="shared" si="5"/>
        <v>20.556513645944541</v>
      </c>
      <c r="P28" s="12">
        <f t="shared" si="6"/>
        <v>27.125363846231053</v>
      </c>
      <c r="Q28" s="12">
        <f t="shared" si="7"/>
        <v>24.604217422645608</v>
      </c>
      <c r="R28" s="12">
        <f t="shared" si="8"/>
        <v>15.294316242825728</v>
      </c>
      <c r="S28" s="12">
        <f t="shared" si="9"/>
        <v>4.1494438513408705</v>
      </c>
      <c r="T28" s="12">
        <f t="shared" si="10"/>
        <v>0.24499739946894417</v>
      </c>
      <c r="U28" s="12">
        <f t="shared" si="11"/>
        <v>8.6684368527186959E-3</v>
      </c>
      <c r="V28" s="14">
        <f t="shared" si="12"/>
        <v>9.2159170749956651E-2</v>
      </c>
      <c r="W28" s="6">
        <f t="shared" si="13"/>
        <v>17369</v>
      </c>
      <c r="X28" s="35">
        <f t="shared" si="14"/>
        <v>45057</v>
      </c>
      <c r="Y28" s="35">
        <f t="shared" si="24"/>
        <v>59455</v>
      </c>
      <c r="Z28" s="35">
        <f t="shared" si="25"/>
        <v>53929</v>
      </c>
      <c r="AA28" s="35">
        <f t="shared" si="26"/>
        <v>33523</v>
      </c>
      <c r="AB28" s="35">
        <f t="shared" si="27"/>
        <v>9095</v>
      </c>
      <c r="AC28" s="8">
        <f t="shared" si="15"/>
        <v>556</v>
      </c>
      <c r="AD28" s="18">
        <f t="shared" si="16"/>
        <v>7.9243199839405802</v>
      </c>
      <c r="AE28" s="36">
        <f t="shared" si="19"/>
        <v>20.556513645944541</v>
      </c>
      <c r="AF28" s="36">
        <f t="shared" si="20"/>
        <v>27.125363846231053</v>
      </c>
      <c r="AG28" s="36">
        <f t="shared" si="21"/>
        <v>24.604217422645608</v>
      </c>
      <c r="AH28" s="36">
        <f t="shared" si="22"/>
        <v>15.294316242825728</v>
      </c>
      <c r="AI28" s="36">
        <f t="shared" si="23"/>
        <v>4.1494438513408705</v>
      </c>
      <c r="AJ28" s="19">
        <f t="shared" si="18"/>
        <v>0.25366583632166284</v>
      </c>
    </row>
    <row r="29" spans="1:36" x14ac:dyDescent="0.45">
      <c r="A29" s="1">
        <v>2018</v>
      </c>
      <c r="B29" s="2">
        <v>221731</v>
      </c>
      <c r="C29" s="6">
        <v>389</v>
      </c>
      <c r="D29" s="7">
        <v>14252</v>
      </c>
      <c r="E29" s="7">
        <v>44659</v>
      </c>
      <c r="F29" s="7">
        <v>61397</v>
      </c>
      <c r="G29" s="7">
        <v>56396</v>
      </c>
      <c r="H29" s="7">
        <v>34942</v>
      </c>
      <c r="I29" s="7">
        <v>8940</v>
      </c>
      <c r="J29" s="7">
        <v>520</v>
      </c>
      <c r="K29" s="7">
        <v>25</v>
      </c>
      <c r="L29" s="8">
        <v>211</v>
      </c>
      <c r="M29" s="13">
        <f t="shared" si="3"/>
        <v>0.17543780526854613</v>
      </c>
      <c r="N29" s="12">
        <f t="shared" si="4"/>
        <v>6.4276082279879674</v>
      </c>
      <c r="O29" s="12">
        <f t="shared" si="5"/>
        <v>20.141071839300775</v>
      </c>
      <c r="P29" s="12">
        <f t="shared" si="6"/>
        <v>27.689858432064078</v>
      </c>
      <c r="Q29" s="12">
        <f t="shared" si="7"/>
        <v>25.43442279158079</v>
      </c>
      <c r="R29" s="12">
        <f t="shared" si="8"/>
        <v>15.75873468301681</v>
      </c>
      <c r="S29" s="12">
        <f t="shared" si="9"/>
        <v>4.0319125426755846</v>
      </c>
      <c r="T29" s="12">
        <f t="shared" si="10"/>
        <v>0.23451840292967605</v>
      </c>
      <c r="U29" s="12">
        <f t="shared" si="11"/>
        <v>1.1274923217772887E-2</v>
      </c>
      <c r="V29" s="14">
        <f t="shared" si="12"/>
        <v>9.5160351958003167E-2</v>
      </c>
      <c r="W29" s="6">
        <f t="shared" si="13"/>
        <v>14641</v>
      </c>
      <c r="X29" s="35">
        <f t="shared" si="14"/>
        <v>44659</v>
      </c>
      <c r="Y29" s="35">
        <f t="shared" si="24"/>
        <v>61397</v>
      </c>
      <c r="Z29" s="35">
        <f t="shared" si="25"/>
        <v>56396</v>
      </c>
      <c r="AA29" s="35">
        <f t="shared" si="26"/>
        <v>34942</v>
      </c>
      <c r="AB29" s="35">
        <f t="shared" si="27"/>
        <v>8940</v>
      </c>
      <c r="AC29" s="8">
        <f t="shared" si="15"/>
        <v>545</v>
      </c>
      <c r="AD29" s="18">
        <f t="shared" si="16"/>
        <v>6.6030460332565131</v>
      </c>
      <c r="AE29" s="36">
        <f t="shared" si="19"/>
        <v>20.141071839300775</v>
      </c>
      <c r="AF29" s="36">
        <f t="shared" si="20"/>
        <v>27.689858432064078</v>
      </c>
      <c r="AG29" s="36">
        <f t="shared" si="21"/>
        <v>25.43442279158079</v>
      </c>
      <c r="AH29" s="36">
        <f t="shared" si="22"/>
        <v>15.75873468301681</v>
      </c>
      <c r="AI29" s="36">
        <f t="shared" si="23"/>
        <v>4.0319125426755846</v>
      </c>
      <c r="AJ29" s="19">
        <f t="shared" si="18"/>
        <v>0.24579332614744892</v>
      </c>
    </row>
    <row r="30" spans="1:36" x14ac:dyDescent="0.45">
      <c r="A30" s="1">
        <v>2019</v>
      </c>
      <c r="B30" s="2">
        <v>210188</v>
      </c>
      <c r="C30" s="6">
        <v>285</v>
      </c>
      <c r="D30" s="7">
        <v>11692</v>
      </c>
      <c r="E30" s="7">
        <v>40194</v>
      </c>
      <c r="F30" s="7">
        <v>58301</v>
      </c>
      <c r="G30" s="7">
        <v>56105</v>
      </c>
      <c r="H30" s="7">
        <v>34100</v>
      </c>
      <c r="I30" s="7">
        <v>8837</v>
      </c>
      <c r="J30" s="7">
        <v>520</v>
      </c>
      <c r="K30" s="7">
        <v>20</v>
      </c>
      <c r="L30" s="8">
        <v>134</v>
      </c>
      <c r="M30" s="13">
        <f t="shared" si="3"/>
        <v>0.1355928977867433</v>
      </c>
      <c r="N30" s="12">
        <f t="shared" si="4"/>
        <v>5.5626391611319388</v>
      </c>
      <c r="O30" s="12">
        <f t="shared" si="5"/>
        <v>19.122880468913543</v>
      </c>
      <c r="P30" s="12">
        <f t="shared" si="6"/>
        <v>27.737549241631303</v>
      </c>
      <c r="Q30" s="12">
        <f t="shared" si="7"/>
        <v>26.692770281842922</v>
      </c>
      <c r="R30" s="12">
        <f t="shared" si="8"/>
        <v>16.223571279045427</v>
      </c>
      <c r="S30" s="12">
        <f t="shared" si="9"/>
        <v>4.2043313604963179</v>
      </c>
      <c r="T30" s="12">
        <f t="shared" si="10"/>
        <v>0.24739756789160183</v>
      </c>
      <c r="U30" s="12">
        <f t="shared" si="11"/>
        <v>9.5152910727539161E-3</v>
      </c>
      <c r="V30" s="14">
        <f t="shared" si="12"/>
        <v>6.3752450187451237E-2</v>
      </c>
      <c r="W30" s="6">
        <f t="shared" si="13"/>
        <v>11977</v>
      </c>
      <c r="X30" s="35">
        <f t="shared" si="14"/>
        <v>40194</v>
      </c>
      <c r="Y30" s="35">
        <f t="shared" si="24"/>
        <v>58301</v>
      </c>
      <c r="Z30" s="35">
        <f t="shared" si="25"/>
        <v>56105</v>
      </c>
      <c r="AA30" s="35">
        <f t="shared" si="26"/>
        <v>34100</v>
      </c>
      <c r="AB30" s="35">
        <f t="shared" si="27"/>
        <v>8837</v>
      </c>
      <c r="AC30" s="8">
        <f t="shared" si="15"/>
        <v>540</v>
      </c>
      <c r="AD30" s="18">
        <f t="shared" si="16"/>
        <v>5.6982320589186823</v>
      </c>
      <c r="AE30" s="36">
        <f t="shared" si="19"/>
        <v>19.122880468913543</v>
      </c>
      <c r="AF30" s="36">
        <f t="shared" si="20"/>
        <v>27.737549241631303</v>
      </c>
      <c r="AG30" s="36">
        <f t="shared" si="21"/>
        <v>26.692770281842922</v>
      </c>
      <c r="AH30" s="36">
        <f t="shared" si="22"/>
        <v>16.223571279045427</v>
      </c>
      <c r="AI30" s="36">
        <f t="shared" si="23"/>
        <v>4.2043313604963179</v>
      </c>
      <c r="AJ30" s="19">
        <f t="shared" si="18"/>
        <v>0.25691285896435573</v>
      </c>
    </row>
    <row r="31" spans="1:36" x14ac:dyDescent="0.45">
      <c r="A31" s="1">
        <v>2020</v>
      </c>
      <c r="B31" s="2">
        <v>194978</v>
      </c>
      <c r="C31" s="6">
        <v>225</v>
      </c>
      <c r="D31" s="7">
        <v>9535</v>
      </c>
      <c r="E31" s="7">
        <v>35742</v>
      </c>
      <c r="F31" s="7">
        <v>53546</v>
      </c>
      <c r="G31" s="7">
        <v>54194</v>
      </c>
      <c r="H31" s="7">
        <v>32579</v>
      </c>
      <c r="I31" s="7">
        <v>8446</v>
      </c>
      <c r="J31" s="7">
        <v>522</v>
      </c>
      <c r="K31" s="7">
        <v>18</v>
      </c>
      <c r="L31" s="8">
        <v>171</v>
      </c>
      <c r="M31" s="13">
        <f t="shared" si="3"/>
        <v>0.11539763460492979</v>
      </c>
      <c r="N31" s="12">
        <f t="shared" si="4"/>
        <v>4.8902953153689133</v>
      </c>
      <c r="O31" s="12">
        <f t="shared" si="5"/>
        <v>18.331298915775111</v>
      </c>
      <c r="P31" s="12">
        <f t="shared" si="6"/>
        <v>27.462585522469201</v>
      </c>
      <c r="Q31" s="12">
        <f t="shared" si="7"/>
        <v>27.7949307101314</v>
      </c>
      <c r="R31" s="12">
        <f t="shared" si="8"/>
        <v>16.709064612417812</v>
      </c>
      <c r="S31" s="12">
        <f t="shared" si="9"/>
        <v>4.3317707638810532</v>
      </c>
      <c r="T31" s="12">
        <f t="shared" si="10"/>
        <v>0.26772251228343713</v>
      </c>
      <c r="U31" s="12">
        <f t="shared" si="11"/>
        <v>9.2318107683943829E-3</v>
      </c>
      <c r="V31" s="14">
        <f t="shared" si="12"/>
        <v>8.7702202299746637E-2</v>
      </c>
      <c r="W31" s="6">
        <f t="shared" si="13"/>
        <v>9760</v>
      </c>
      <c r="X31" s="35">
        <f t="shared" si="14"/>
        <v>35742</v>
      </c>
      <c r="Y31" s="35">
        <f t="shared" si="24"/>
        <v>53546</v>
      </c>
      <c r="Z31" s="35">
        <f t="shared" si="25"/>
        <v>54194</v>
      </c>
      <c r="AA31" s="35">
        <f t="shared" si="26"/>
        <v>32579</v>
      </c>
      <c r="AB31" s="35">
        <f t="shared" si="27"/>
        <v>8446</v>
      </c>
      <c r="AC31" s="8">
        <f t="shared" si="15"/>
        <v>540</v>
      </c>
      <c r="AD31" s="18">
        <f t="shared" si="16"/>
        <v>5.0056929499738434</v>
      </c>
      <c r="AE31" s="36">
        <f t="shared" si="19"/>
        <v>18.331298915775111</v>
      </c>
      <c r="AF31" s="36">
        <f t="shared" si="20"/>
        <v>27.462585522469201</v>
      </c>
      <c r="AG31" s="36">
        <f t="shared" si="21"/>
        <v>27.7949307101314</v>
      </c>
      <c r="AH31" s="36">
        <f t="shared" si="22"/>
        <v>16.709064612417812</v>
      </c>
      <c r="AI31" s="36">
        <f t="shared" si="23"/>
        <v>4.3317707638810532</v>
      </c>
      <c r="AJ31" s="19">
        <f t="shared" si="18"/>
        <v>0.27695432305183154</v>
      </c>
    </row>
    <row r="32" spans="1:36" x14ac:dyDescent="0.45">
      <c r="A32" s="1">
        <v>2021</v>
      </c>
      <c r="B32" s="2">
        <v>177273</v>
      </c>
      <c r="C32" s="6">
        <v>161</v>
      </c>
      <c r="D32" s="7">
        <v>7097</v>
      </c>
      <c r="E32" s="7">
        <v>30379</v>
      </c>
      <c r="F32" s="7">
        <v>47790</v>
      </c>
      <c r="G32" s="7">
        <v>52051</v>
      </c>
      <c r="H32" s="7">
        <v>30941</v>
      </c>
      <c r="I32" s="7">
        <v>8219</v>
      </c>
      <c r="J32" s="7">
        <v>439</v>
      </c>
      <c r="K32" s="7">
        <v>18</v>
      </c>
      <c r="L32" s="8">
        <v>178</v>
      </c>
      <c r="M32" s="13">
        <f t="shared" si="3"/>
        <v>9.0820373096861903E-2</v>
      </c>
      <c r="N32" s="12">
        <f t="shared" si="4"/>
        <v>4.0034297383132227</v>
      </c>
      <c r="O32" s="12">
        <f t="shared" si="5"/>
        <v>17.136845430494212</v>
      </c>
      <c r="P32" s="12">
        <f t="shared" si="6"/>
        <v>26.958420063969129</v>
      </c>
      <c r="Q32" s="12">
        <f t="shared" si="7"/>
        <v>29.362057391706575</v>
      </c>
      <c r="R32" s="12">
        <f t="shared" si="8"/>
        <v>17.453870583788845</v>
      </c>
      <c r="S32" s="12">
        <f t="shared" si="9"/>
        <v>4.6363518415099874</v>
      </c>
      <c r="T32" s="12">
        <f t="shared" si="10"/>
        <v>0.24764064465541846</v>
      </c>
      <c r="U32" s="12">
        <f t="shared" si="11"/>
        <v>1.0153830532568412E-2</v>
      </c>
      <c r="V32" s="14">
        <f t="shared" si="12"/>
        <v>0.10041010193317652</v>
      </c>
      <c r="W32" s="6">
        <f t="shared" si="13"/>
        <v>7258</v>
      </c>
      <c r="X32" s="35">
        <f t="shared" si="14"/>
        <v>30379</v>
      </c>
      <c r="Y32" s="35">
        <f t="shared" si="24"/>
        <v>47790</v>
      </c>
      <c r="Z32" s="35">
        <f t="shared" si="25"/>
        <v>52051</v>
      </c>
      <c r="AA32" s="35">
        <f t="shared" si="26"/>
        <v>30941</v>
      </c>
      <c r="AB32" s="35">
        <f t="shared" si="27"/>
        <v>8219</v>
      </c>
      <c r="AC32" s="8">
        <f t="shared" si="15"/>
        <v>457</v>
      </c>
      <c r="AD32" s="18">
        <f t="shared" si="16"/>
        <v>4.0942501114100844</v>
      </c>
      <c r="AE32" s="36">
        <f t="shared" si="19"/>
        <v>17.136845430494212</v>
      </c>
      <c r="AF32" s="36">
        <f t="shared" si="20"/>
        <v>26.958420063969129</v>
      </c>
      <c r="AG32" s="36">
        <f t="shared" si="21"/>
        <v>29.362057391706575</v>
      </c>
      <c r="AH32" s="36">
        <f t="shared" si="22"/>
        <v>17.453870583788845</v>
      </c>
      <c r="AI32" s="36">
        <f t="shared" si="23"/>
        <v>4.6363518415099874</v>
      </c>
      <c r="AJ32" s="19">
        <f t="shared" si="18"/>
        <v>0.25779447518798687</v>
      </c>
    </row>
    <row r="33" spans="1:36" x14ac:dyDescent="0.45">
      <c r="A33" s="1">
        <v>2022</v>
      </c>
      <c r="B33" s="2">
        <v>189303</v>
      </c>
      <c r="C33" s="6">
        <v>193</v>
      </c>
      <c r="D33" s="7">
        <v>7162</v>
      </c>
      <c r="E33" s="7">
        <v>31672</v>
      </c>
      <c r="F33" s="7">
        <v>50641</v>
      </c>
      <c r="G33" s="7">
        <v>56010</v>
      </c>
      <c r="H33" s="7">
        <v>33720</v>
      </c>
      <c r="I33" s="7">
        <v>9030</v>
      </c>
      <c r="J33" s="7">
        <v>560</v>
      </c>
      <c r="K33" s="7">
        <v>32</v>
      </c>
      <c r="L33" s="8">
        <v>283</v>
      </c>
      <c r="M33" s="13">
        <f t="shared" si="3"/>
        <v>0.10195295373026311</v>
      </c>
      <c r="N33" s="12">
        <f t="shared" si="4"/>
        <v>3.7833526145914225</v>
      </c>
      <c r="O33" s="12">
        <f t="shared" si="5"/>
        <v>16.730849484688566</v>
      </c>
      <c r="P33" s="12">
        <f t="shared" si="6"/>
        <v>26.751292900799246</v>
      </c>
      <c r="Q33" s="12">
        <f t="shared" si="7"/>
        <v>29.587486727627137</v>
      </c>
      <c r="R33" s="12">
        <f t="shared" si="8"/>
        <v>17.812712952251154</v>
      </c>
      <c r="S33" s="12">
        <f t="shared" si="9"/>
        <v>4.7701304258252639</v>
      </c>
      <c r="T33" s="12">
        <f t="shared" si="10"/>
        <v>0.2958220419116443</v>
      </c>
      <c r="U33" s="12">
        <f t="shared" si="11"/>
        <v>1.6904116680665389E-2</v>
      </c>
      <c r="V33" s="14">
        <f t="shared" si="12"/>
        <v>0.14949578189463453</v>
      </c>
      <c r="W33" s="6">
        <f t="shared" si="13"/>
        <v>7355</v>
      </c>
      <c r="X33" s="35">
        <f t="shared" si="14"/>
        <v>31672</v>
      </c>
      <c r="Y33" s="35">
        <f t="shared" si="24"/>
        <v>50641</v>
      </c>
      <c r="Z33" s="35">
        <f t="shared" si="25"/>
        <v>56010</v>
      </c>
      <c r="AA33" s="35">
        <f t="shared" si="26"/>
        <v>33720</v>
      </c>
      <c r="AB33" s="35">
        <f t="shared" si="27"/>
        <v>9030</v>
      </c>
      <c r="AC33" s="8">
        <f t="shared" si="15"/>
        <v>592</v>
      </c>
      <c r="AD33" s="18">
        <f t="shared" si="16"/>
        <v>3.8853055683216855</v>
      </c>
      <c r="AE33" s="36">
        <f t="shared" si="19"/>
        <v>16.730849484688566</v>
      </c>
      <c r="AF33" s="36">
        <f t="shared" si="20"/>
        <v>26.751292900799246</v>
      </c>
      <c r="AG33" s="36">
        <f t="shared" si="21"/>
        <v>29.587486727627137</v>
      </c>
      <c r="AH33" s="36">
        <f t="shared" si="22"/>
        <v>17.812712952251154</v>
      </c>
      <c r="AI33" s="36">
        <f t="shared" si="23"/>
        <v>4.7701304258252639</v>
      </c>
      <c r="AJ33" s="19">
        <f t="shared" si="18"/>
        <v>0.31272615859230968</v>
      </c>
    </row>
    <row r="34" spans="1:36" ht="15" x14ac:dyDescent="0.45">
      <c r="A34" s="3" t="s">
        <v>11</v>
      </c>
      <c r="B34" s="2">
        <v>174067</v>
      </c>
      <c r="C34" s="6">
        <v>168</v>
      </c>
      <c r="D34" s="7">
        <v>6510</v>
      </c>
      <c r="E34" s="7">
        <v>28745</v>
      </c>
      <c r="F34" s="7">
        <v>45739</v>
      </c>
      <c r="G34" s="7">
        <v>51083</v>
      </c>
      <c r="H34" s="7">
        <v>32023</v>
      </c>
      <c r="I34" s="7">
        <v>8873</v>
      </c>
      <c r="J34" s="7">
        <v>612</v>
      </c>
      <c r="K34" s="7">
        <v>32</v>
      </c>
      <c r="L34" s="8">
        <v>282</v>
      </c>
      <c r="M34" s="13">
        <f t="shared" si="3"/>
        <v>9.6514560485330372E-2</v>
      </c>
      <c r="N34" s="12">
        <f t="shared" si="4"/>
        <v>3.7399392188065517</v>
      </c>
      <c r="O34" s="12">
        <f t="shared" si="5"/>
        <v>16.51375619732632</v>
      </c>
      <c r="P34" s="12">
        <f t="shared" si="6"/>
        <v>26.276663583562655</v>
      </c>
      <c r="Q34" s="12">
        <f t="shared" si="7"/>
        <v>29.346745793286495</v>
      </c>
      <c r="R34" s="12">
        <f t="shared" si="8"/>
        <v>18.396939109653179</v>
      </c>
      <c r="S34" s="12">
        <f t="shared" si="9"/>
        <v>5.0974624713472396</v>
      </c>
      <c r="T34" s="12">
        <f t="shared" si="10"/>
        <v>0.35158875605370343</v>
      </c>
      <c r="U34" s="12">
        <f t="shared" si="11"/>
        <v>1.8383725806729593E-2</v>
      </c>
      <c r="V34" s="14">
        <f t="shared" si="12"/>
        <v>0.16200658367180454</v>
      </c>
      <c r="W34" s="6">
        <f t="shared" si="13"/>
        <v>6678</v>
      </c>
      <c r="X34" s="35">
        <f t="shared" si="14"/>
        <v>28745</v>
      </c>
      <c r="Y34" s="35">
        <f t="shared" si="24"/>
        <v>45739</v>
      </c>
      <c r="Z34" s="35">
        <f t="shared" si="25"/>
        <v>51083</v>
      </c>
      <c r="AA34" s="35">
        <f t="shared" si="26"/>
        <v>32023</v>
      </c>
      <c r="AB34" s="35">
        <f t="shared" si="27"/>
        <v>8873</v>
      </c>
      <c r="AC34" s="8">
        <f t="shared" si="15"/>
        <v>644</v>
      </c>
      <c r="AD34" s="18">
        <f t="shared" si="16"/>
        <v>3.8364537792918822</v>
      </c>
      <c r="AE34" s="36">
        <f t="shared" si="19"/>
        <v>16.51375619732632</v>
      </c>
      <c r="AF34" s="36">
        <f t="shared" si="20"/>
        <v>26.276663583562655</v>
      </c>
      <c r="AG34" s="36">
        <f t="shared" si="21"/>
        <v>29.346745793286495</v>
      </c>
      <c r="AH34" s="36">
        <f t="shared" si="22"/>
        <v>18.396939109653179</v>
      </c>
      <c r="AI34" s="36">
        <f t="shared" si="23"/>
        <v>5.0974624713472396</v>
      </c>
      <c r="AJ34" s="19">
        <f t="shared" si="18"/>
        <v>0.36997248186043302</v>
      </c>
    </row>
    <row r="35" spans="1:36" ht="15.4" thickBot="1" x14ac:dyDescent="0.5">
      <c r="A35" s="4" t="s">
        <v>12</v>
      </c>
      <c r="B35" s="5">
        <v>154441</v>
      </c>
      <c r="C35" s="9">
        <v>181</v>
      </c>
      <c r="D35" s="10">
        <v>5504</v>
      </c>
      <c r="E35" s="10">
        <v>24682</v>
      </c>
      <c r="F35" s="10">
        <v>39826</v>
      </c>
      <c r="G35" s="10">
        <v>45674</v>
      </c>
      <c r="H35" s="10">
        <v>29806</v>
      </c>
      <c r="I35" s="10">
        <v>7960</v>
      </c>
      <c r="J35" s="10">
        <v>516</v>
      </c>
      <c r="K35" s="10">
        <v>32</v>
      </c>
      <c r="L35" s="11">
        <v>260</v>
      </c>
      <c r="M35" s="15">
        <f t="shared" si="3"/>
        <v>0.11719685834720055</v>
      </c>
      <c r="N35" s="16">
        <f t="shared" si="4"/>
        <v>3.5638204880828277</v>
      </c>
      <c r="O35" s="16">
        <f t="shared" si="5"/>
        <v>15.981507501246432</v>
      </c>
      <c r="P35" s="16">
        <f t="shared" si="6"/>
        <v>25.787193815113863</v>
      </c>
      <c r="Q35" s="16">
        <f t="shared" si="7"/>
        <v>29.573753083701863</v>
      </c>
      <c r="R35" s="16">
        <f t="shared" si="8"/>
        <v>19.299279336445633</v>
      </c>
      <c r="S35" s="16">
        <f t="shared" si="9"/>
        <v>5.154071781456997</v>
      </c>
      <c r="T35" s="16">
        <f t="shared" si="10"/>
        <v>0.33410817075776511</v>
      </c>
      <c r="U35" s="16">
        <f t="shared" si="11"/>
        <v>2.071988655862109E-2</v>
      </c>
      <c r="V35" s="17">
        <f t="shared" si="12"/>
        <v>0.16834907828879636</v>
      </c>
      <c r="W35" s="9">
        <f t="shared" si="13"/>
        <v>5685</v>
      </c>
      <c r="X35" s="10">
        <f t="shared" si="14"/>
        <v>24682</v>
      </c>
      <c r="Y35" s="10">
        <f t="shared" si="24"/>
        <v>39826</v>
      </c>
      <c r="Z35" s="10">
        <f t="shared" si="25"/>
        <v>45674</v>
      </c>
      <c r="AA35" s="10">
        <f t="shared" si="26"/>
        <v>29806</v>
      </c>
      <c r="AB35" s="10">
        <f t="shared" si="27"/>
        <v>7960</v>
      </c>
      <c r="AC35" s="11">
        <f t="shared" si="15"/>
        <v>548</v>
      </c>
      <c r="AD35" s="37">
        <f t="shared" si="16"/>
        <v>3.6810173464300284</v>
      </c>
      <c r="AE35" s="38">
        <f t="shared" si="19"/>
        <v>15.981507501246432</v>
      </c>
      <c r="AF35" s="38">
        <f t="shared" si="20"/>
        <v>25.787193815113863</v>
      </c>
      <c r="AG35" s="38">
        <f t="shared" si="21"/>
        <v>29.573753083701863</v>
      </c>
      <c r="AH35" s="38">
        <f t="shared" si="22"/>
        <v>19.299279336445633</v>
      </c>
      <c r="AI35" s="38">
        <f t="shared" si="23"/>
        <v>5.154071781456997</v>
      </c>
      <c r="AJ35" s="39">
        <f t="shared" si="18"/>
        <v>0.35482805731638623</v>
      </c>
    </row>
  </sheetData>
  <mergeCells count="5">
    <mergeCell ref="C1:L1"/>
    <mergeCell ref="A1:B1"/>
    <mergeCell ref="M1:V1"/>
    <mergeCell ref="AD1:AJ1"/>
    <mergeCell ref="W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molinare</dc:creator>
  <cp:lastModifiedBy>carolina molinare</cp:lastModifiedBy>
  <dcterms:created xsi:type="dcterms:W3CDTF">2026-01-06T23:05:27Z</dcterms:created>
  <dcterms:modified xsi:type="dcterms:W3CDTF">2026-01-06T23:44:55Z</dcterms:modified>
</cp:coreProperties>
</file>